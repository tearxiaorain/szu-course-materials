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ao Jianwen\Desktop\"/>
    </mc:Choice>
  </mc:AlternateContent>
  <xr:revisionPtr revIDLastSave="0" documentId="13_ncr:1_{F95A0484-BA08-4B9E-908D-9A69EB0785E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1" l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Z3" i="1"/>
  <c r="BA3" i="1" s="1"/>
  <c r="AY3" i="1"/>
  <c r="AS3" i="1"/>
  <c r="AT3" i="1" s="1"/>
  <c r="AU3" i="1" s="1"/>
  <c r="AV3" i="1" s="1"/>
  <c r="AW3" i="1" s="1"/>
  <c r="AX3" i="1" s="1"/>
  <c r="AR3" i="1"/>
  <c r="AQ3" i="1"/>
  <c r="AP3" i="1"/>
  <c r="T3" i="1"/>
  <c r="W3" i="1" s="1"/>
  <c r="S3" i="1"/>
  <c r="L3" i="1"/>
  <c r="O3" i="1" s="1"/>
  <c r="G3" i="1"/>
  <c r="F3" i="1"/>
  <c r="E3" i="1"/>
  <c r="B3" i="1"/>
  <c r="C3" i="1"/>
  <c r="D3" i="1"/>
  <c r="AU4" i="1"/>
  <c r="AV4" i="1"/>
  <c r="AW4" i="1"/>
  <c r="AX4" i="1"/>
  <c r="AY4" i="1"/>
  <c r="AZ4" i="1"/>
  <c r="BA4" i="1"/>
  <c r="AG4" i="1"/>
  <c r="AH4" i="1"/>
  <c r="AI4" i="1"/>
  <c r="AJ4" i="1"/>
  <c r="AK4" i="1"/>
  <c r="AL4" i="1"/>
  <c r="K4" i="1"/>
  <c r="L4" i="1"/>
  <c r="M4" i="1"/>
  <c r="N4" i="1"/>
  <c r="O4" i="1"/>
  <c r="R4" i="1"/>
  <c r="S4" i="1"/>
  <c r="T4" i="1"/>
  <c r="U4" i="1"/>
  <c r="V4" i="1"/>
  <c r="W4" i="1"/>
  <c r="Z4" i="1"/>
  <c r="AA4" i="1"/>
  <c r="AB4" i="1"/>
  <c r="AC4" i="1"/>
  <c r="AD4" i="1"/>
  <c r="AE4" i="1"/>
  <c r="AF4" i="1"/>
  <c r="AO4" i="1"/>
  <c r="AP4" i="1"/>
  <c r="AQ4" i="1"/>
  <c r="AR4" i="1"/>
  <c r="AS4" i="1"/>
  <c r="AT4" i="1"/>
  <c r="J4" i="1"/>
  <c r="C4" i="1"/>
  <c r="D4" i="1"/>
  <c r="E4" i="1"/>
  <c r="F4" i="1"/>
  <c r="G4" i="1"/>
  <c r="B4" i="1"/>
  <c r="AA3" i="1" l="1"/>
  <c r="Z3" i="1" s="1"/>
  <c r="AO3" i="1"/>
  <c r="U3" i="1"/>
  <c r="V3" i="1"/>
  <c r="R3" i="1"/>
  <c r="K3" i="1"/>
  <c r="M3" i="1"/>
  <c r="N3" i="1"/>
  <c r="J3" i="1"/>
</calcChain>
</file>

<file path=xl/sharedStrings.xml><?xml version="1.0" encoding="utf-8"?>
<sst xmlns="http://schemas.openxmlformats.org/spreadsheetml/2006/main" count="1499" uniqueCount="832">
  <si>
    <t>选择排序</t>
    <phoneticPr fontId="1" type="noConversion"/>
  </si>
  <si>
    <t>10w</t>
    <phoneticPr fontId="1" type="noConversion"/>
  </si>
  <si>
    <t>20w</t>
    <phoneticPr fontId="1" type="noConversion"/>
  </si>
  <si>
    <t>30w</t>
  </si>
  <si>
    <t>40w</t>
  </si>
  <si>
    <t>50w</t>
  </si>
  <si>
    <t>平均时间</t>
    <phoneticPr fontId="1" type="noConversion"/>
  </si>
  <si>
    <t>理论时间</t>
    <phoneticPr fontId="1" type="noConversion"/>
  </si>
  <si>
    <t>冒泡排序</t>
    <phoneticPr fontId="1" type="noConversion"/>
  </si>
  <si>
    <t>插入排序</t>
    <phoneticPr fontId="1" type="noConversion"/>
  </si>
  <si>
    <t>归并排序</t>
    <phoneticPr fontId="1" type="noConversion"/>
  </si>
  <si>
    <t>快速排序</t>
    <phoneticPr fontId="1" type="noConversion"/>
  </si>
  <si>
    <t>Testing n = 100000</t>
  </si>
  <si>
    <t>选择排序:       21600.3 ms</t>
  </si>
  <si>
    <t>冒泡排序:       65473.5 ms</t>
  </si>
  <si>
    <t>插入排序:       15001.3 ms</t>
  </si>
  <si>
    <t>归并排序:       29.2809 ms</t>
  </si>
  <si>
    <t>快速排序:       24.4751 ms</t>
  </si>
  <si>
    <t>选择排序:       21507.9 ms</t>
  </si>
  <si>
    <t>冒泡排序:       65675.4 ms</t>
  </si>
  <si>
    <t>插入排序:       15324.5 ms</t>
  </si>
  <si>
    <t>归并排序:       37.221 ms</t>
  </si>
  <si>
    <t>快速排序:       25.1889 ms</t>
  </si>
  <si>
    <t>选择排序:       21755.4 ms</t>
  </si>
  <si>
    <t>冒泡排序:       65066.1 ms</t>
  </si>
  <si>
    <t>插入排序:       15244.8 ms</t>
  </si>
  <si>
    <t>归并排序:       29.7041 ms</t>
  </si>
  <si>
    <t>快速排序:       25.8729 ms</t>
  </si>
  <si>
    <t>选择排序:       21614.6 ms</t>
  </si>
  <si>
    <t>冒泡排序:       65581.9 ms</t>
  </si>
  <si>
    <t>插入排序:       15241.1 ms</t>
  </si>
  <si>
    <t>归并排序:       32.0911 ms</t>
  </si>
  <si>
    <t>快速排序:       27.0472 ms</t>
  </si>
  <si>
    <t>选择排序:       21660.8 ms</t>
  </si>
  <si>
    <t>冒泡排序:       66862.8 ms</t>
  </si>
  <si>
    <t>插入排序:       15184.6 ms</t>
  </si>
  <si>
    <t>归并排序:       33.0939 ms</t>
  </si>
  <si>
    <t>快速排序:       24.579 ms</t>
  </si>
  <si>
    <t>选择排序:       21962.9 ms</t>
  </si>
  <si>
    <t>冒泡排序:       66009.5 ms</t>
  </si>
  <si>
    <t>插入排序:       15132.8 ms</t>
  </si>
  <si>
    <t>归并排序:       34.1442 ms</t>
  </si>
  <si>
    <t>快速排序:       28.6779 ms</t>
  </si>
  <si>
    <t>选择排序:       21509.4 ms</t>
  </si>
  <si>
    <t>冒泡排序:       65559.2 ms</t>
  </si>
  <si>
    <t>插入排序:       15128.9 ms</t>
  </si>
  <si>
    <t>归并排序:       29.3641 ms</t>
  </si>
  <si>
    <t>快速排序:       31.255 ms</t>
  </si>
  <si>
    <t>选择排序:       21559.5 ms</t>
  </si>
  <si>
    <t>冒泡排序:       65359.1 ms</t>
  </si>
  <si>
    <t>插入排序:       15005.1 ms</t>
  </si>
  <si>
    <t>归并排序:       30.1731 ms</t>
  </si>
  <si>
    <t>快速排序:       25.074 ms</t>
  </si>
  <si>
    <t>选择排序:       22208.9 ms</t>
  </si>
  <si>
    <t>冒泡排序:       66772.9 ms</t>
  </si>
  <si>
    <t>插入排序:       15348.5 ms</t>
  </si>
  <si>
    <t>归并排序:       30.205 ms</t>
  </si>
  <si>
    <t>快速排序:       24.8489 ms</t>
  </si>
  <si>
    <t>选择排序:       21808.2 ms</t>
  </si>
  <si>
    <t>冒泡排序:       65305 ms</t>
  </si>
  <si>
    <t>插入排序:       15134.8 ms</t>
  </si>
  <si>
    <t>归并排序:       29.6299 ms</t>
  </si>
  <si>
    <t>快速排序:       24.955 ms</t>
  </si>
  <si>
    <t>选择排序:       21663 ms</t>
  </si>
  <si>
    <t>冒泡排序:       64922.1 ms</t>
  </si>
  <si>
    <t>插入排序:       15111.3 ms</t>
  </si>
  <si>
    <t>归并排序:       36.2399 ms</t>
  </si>
  <si>
    <t>快速排序:       25.9111 ms</t>
  </si>
  <si>
    <t>选择排序:       21637.3 ms</t>
  </si>
  <si>
    <t>冒泡排序:       65184.9 ms</t>
  </si>
  <si>
    <t>插入排序:       15193.7 ms</t>
  </si>
  <si>
    <t>归并排序:       32.6321 ms</t>
  </si>
  <si>
    <t>快速排序:       30.072 ms</t>
  </si>
  <si>
    <t>选择排序:       21725.3 ms</t>
  </si>
  <si>
    <t>冒泡排序:       65584.8 ms</t>
  </si>
  <si>
    <t>插入排序:       15034.4 ms</t>
  </si>
  <si>
    <t>归并排序:       37.112 ms</t>
  </si>
  <si>
    <t>快速排序:       24.6401 ms</t>
  </si>
  <si>
    <t>选择排序:       21501.6 ms</t>
  </si>
  <si>
    <t>冒泡排序:       65206.6 ms</t>
  </si>
  <si>
    <t>插入排序:       14934.4 ms</t>
  </si>
  <si>
    <t>归并排序:       38.0609 ms</t>
  </si>
  <si>
    <t>快速排序:       26.001 ms</t>
  </si>
  <si>
    <t>选择排序:       21588.3 ms</t>
  </si>
  <si>
    <t>冒泡排序:       65077.4 ms</t>
  </si>
  <si>
    <t>插入排序:       15173 ms</t>
  </si>
  <si>
    <t>归并排序:       34.755 ms</t>
  </si>
  <si>
    <t>快速排序:       25.969 ms</t>
  </si>
  <si>
    <t>选择排序:       21794.2 ms</t>
  </si>
  <si>
    <t>冒泡排序:       64929.2 ms</t>
  </si>
  <si>
    <t>插入排序:       15110.3 ms</t>
  </si>
  <si>
    <t>归并排序:       34.7741 ms</t>
  </si>
  <si>
    <t>快速排序:       25.6729 ms</t>
  </si>
  <si>
    <t>选择排序:  21692.1 ms</t>
  </si>
  <si>
    <t>冒泡排序:  65259.6 ms</t>
  </si>
  <si>
    <t>插入排序:  15178.2 ms</t>
  </si>
  <si>
    <t>归并排序:  37.6952 ms</t>
  </si>
  <si>
    <t>快速排序:  24.9221 ms</t>
  </si>
  <si>
    <t>选择排序:       21709.6 ms</t>
  </si>
  <si>
    <t>冒泡排序:       65139.5 ms</t>
  </si>
  <si>
    <t>插入排序:       14991.5 ms</t>
  </si>
  <si>
    <t>归并排序:       32.65 ms</t>
  </si>
  <si>
    <t>快速排序:       25.3019 ms</t>
  </si>
  <si>
    <t>选择排序:       21431.1 ms</t>
  </si>
  <si>
    <t>冒泡排序:       65159.1 ms</t>
  </si>
  <si>
    <t>插入排序:       15005.6 ms</t>
  </si>
  <si>
    <t>归并排序:       30.5948 ms</t>
  </si>
  <si>
    <t>快速排序:       31.7049 ms</t>
  </si>
  <si>
    <t>选择排序:       21355.7 ms</t>
  </si>
  <si>
    <t>冒泡排序:       65436.3 ms</t>
  </si>
  <si>
    <t>插入排序:       15119.3 ms</t>
  </si>
  <si>
    <t>归并排序:       29.6979 ms</t>
  </si>
  <si>
    <t>快速排序:       29.669 ms</t>
  </si>
  <si>
    <t>Testing n = 10000</t>
  </si>
  <si>
    <t>冒泡排序:       501.544 ms</t>
  </si>
  <si>
    <t>插入排序:       158.12 ms</t>
  </si>
  <si>
    <t>归并排序:       2.44808 ms</t>
  </si>
  <si>
    <t>快速排序:       1.95098 ms</t>
  </si>
  <si>
    <t>选择排序:       246.632 ms</t>
  </si>
  <si>
    <t>冒泡排序:       498.311 ms</t>
  </si>
  <si>
    <t>插入排序:       153.578 ms</t>
  </si>
  <si>
    <t>归并排序:       2.48313 ms</t>
  </si>
  <si>
    <t>快速排序:       2.06304 ms</t>
  </si>
  <si>
    <t>选择排序:       248.625 ms</t>
  </si>
  <si>
    <t>冒泡排序:       488.238 ms</t>
  </si>
  <si>
    <t>插入排序:       151.458 ms</t>
  </si>
  <si>
    <t>归并排序:       2.42901 ms</t>
  </si>
  <si>
    <t>快速排序:       1.95694 ms</t>
  </si>
  <si>
    <t>选择排序:       242.154 ms</t>
  </si>
  <si>
    <t>冒泡排序:       503.52 ms</t>
  </si>
  <si>
    <t>插入排序:       166.956 ms</t>
  </si>
  <si>
    <t>归并排序:       3.70097 ms</t>
  </si>
  <si>
    <t>快速排序:       3.02196 ms</t>
  </si>
  <si>
    <t>选择排序:       243.631 ms</t>
  </si>
  <si>
    <t>冒泡排序:       494.961 ms</t>
  </si>
  <si>
    <t>插入排序:       151.552 ms</t>
  </si>
  <si>
    <t>归并排序:       3.83997 ms</t>
  </si>
  <si>
    <t>快速排序:       2.88701 ms</t>
  </si>
  <si>
    <t>选择排序:       240.744 ms</t>
  </si>
  <si>
    <t>冒泡排序:       495.149 ms</t>
  </si>
  <si>
    <t>插入排序:       153.027 ms</t>
  </si>
  <si>
    <t>归并排序:       2.45094 ms</t>
  </si>
  <si>
    <t>快速排序:       2.77305 ms</t>
  </si>
  <si>
    <t>选择排序:       241.348 ms</t>
  </si>
  <si>
    <t>冒泡排序:       498.291 ms</t>
  </si>
  <si>
    <t>插入排序:       153.109 ms</t>
  </si>
  <si>
    <t>归并排序:       2.43306 ms</t>
  </si>
  <si>
    <t>快速排序:       2.00295 ms</t>
  </si>
  <si>
    <t>选择排序:       242.599 ms</t>
  </si>
  <si>
    <t>冒泡排序:       495.017 ms</t>
  </si>
  <si>
    <t>插入排序:       152.144 ms</t>
  </si>
  <si>
    <t>归并排序:       2.43711 ms</t>
  </si>
  <si>
    <t>快速排序:       2.038 ms</t>
  </si>
  <si>
    <t>选择排序:       242.604 ms</t>
  </si>
  <si>
    <t>冒泡排序:       497.241 ms</t>
  </si>
  <si>
    <t>插入排序:       153.301 ms</t>
  </si>
  <si>
    <t>归并排序:       2.43402 ms</t>
  </si>
  <si>
    <t>快速排序:       2.02394 ms</t>
  </si>
  <si>
    <t>选择排序:       239.378 ms</t>
  </si>
  <si>
    <t>冒泡排序:       478.918 ms</t>
  </si>
  <si>
    <t>插入排序:       158.382 ms</t>
  </si>
  <si>
    <t>归并排序:       2.42805 ms</t>
  </si>
  <si>
    <t>快速排序:       2.10404 ms</t>
  </si>
  <si>
    <t>选择排序:       236.991 ms</t>
  </si>
  <si>
    <t>冒泡排序:       480.556 ms</t>
  </si>
  <si>
    <t>插入排序:       161.472 ms</t>
  </si>
  <si>
    <t>归并排序:       2.43592 ms</t>
  </si>
  <si>
    <t>快速排序:       1.95813 ms</t>
  </si>
  <si>
    <t>选择排序:       230.46 ms</t>
  </si>
  <si>
    <t>冒泡排序:       491.451 ms</t>
  </si>
  <si>
    <t>插入排序:       162.885 ms</t>
  </si>
  <si>
    <t>归并排序:       2.43092 ms</t>
  </si>
  <si>
    <t>快速排序:       1.98007 ms</t>
  </si>
  <si>
    <t>选择排序:       236.806 ms</t>
  </si>
  <si>
    <t>冒泡排序:       495.349 ms</t>
  </si>
  <si>
    <t>插入排序:       164.118 ms</t>
  </si>
  <si>
    <t>归并排序:       2.44188 ms</t>
  </si>
  <si>
    <t>快速排序:       2.09689 ms</t>
  </si>
  <si>
    <t>选择排序:       227.615 ms</t>
  </si>
  <si>
    <t>冒泡排序:       484.312 ms</t>
  </si>
  <si>
    <t>插入排序:       160.28 ms</t>
  </si>
  <si>
    <t>归并排序:       3.61991 ms</t>
  </si>
  <si>
    <t>快速排序:       2.05278 ms</t>
  </si>
  <si>
    <t>选择排序:       232.755 ms</t>
  </si>
  <si>
    <t>冒泡排序:       490.165 ms</t>
  </si>
  <si>
    <t>插入排序:       155.998 ms</t>
  </si>
  <si>
    <t>归并排序:       3.79395 ms</t>
  </si>
  <si>
    <t>快速排序:       3.08108 ms</t>
  </si>
  <si>
    <t>选择排序:       236.838 ms</t>
  </si>
  <si>
    <t>冒泡排序:       511.063 ms</t>
  </si>
  <si>
    <t>插入排序:       164.886 ms</t>
  </si>
  <si>
    <t>归并排序:       2.42996 ms</t>
  </si>
  <si>
    <t>快速排序:       2.00915 ms</t>
  </si>
  <si>
    <t>选择排序:       235.53 ms</t>
  </si>
  <si>
    <t>冒泡排序:       487.873 ms</t>
  </si>
  <si>
    <t>插入排序:       155.1 ms</t>
  </si>
  <si>
    <t>归并排序:       3.52788 ms</t>
  </si>
  <si>
    <t>快速排序:       3.39103 ms</t>
  </si>
  <si>
    <t>选择排序:       232.899 ms</t>
  </si>
  <si>
    <t>冒泡排序:       483.399 ms</t>
  </si>
  <si>
    <t>插入排序:       149.988 ms</t>
  </si>
  <si>
    <t>归并排序:       2.4581 ms</t>
  </si>
  <si>
    <t>快速排序:       1.97005 ms</t>
  </si>
  <si>
    <t>选择排序:       240.349 ms</t>
  </si>
  <si>
    <t>冒泡排序:       478.58 ms</t>
  </si>
  <si>
    <t>插入排序:       158.771 ms</t>
  </si>
  <si>
    <t>归并排序:       2.48408 ms</t>
  </si>
  <si>
    <t>快速排序:       2.02894 ms</t>
  </si>
  <si>
    <t>选择排序:       236.857 ms</t>
  </si>
  <si>
    <t>冒泡排序:       480.88 ms</t>
  </si>
  <si>
    <t>插入排序:       163.699 ms</t>
  </si>
  <si>
    <t>归并排序:       2.43807 ms</t>
  </si>
  <si>
    <t>快速排序:       2.06399 ms</t>
  </si>
  <si>
    <t>1w</t>
    <phoneticPr fontId="1" type="noConversion"/>
  </si>
  <si>
    <t>选择排序:       251.42 ms</t>
    <phoneticPr fontId="1" type="noConversion"/>
  </si>
  <si>
    <t>Testing n = 200000</t>
  </si>
  <si>
    <t>选择排序:       94892.4 ms</t>
  </si>
  <si>
    <t>冒泡排序:       271886 ms</t>
  </si>
  <si>
    <t>插入排序:       68694.6 ms</t>
  </si>
  <si>
    <t>归并排序:       70.6909 ms</t>
  </si>
  <si>
    <t>快速排序:       57.4698 ms</t>
  </si>
  <si>
    <t>选择排序:       94096 ms</t>
  </si>
  <si>
    <t>冒泡排序:       272023 ms</t>
  </si>
  <si>
    <t>插入排序:       68520.2 ms</t>
  </si>
  <si>
    <t>归并排序:       61.6651 ms</t>
  </si>
  <si>
    <t>快速排序:       61.373 ms</t>
  </si>
  <si>
    <t>选择排序:       93982.3 ms</t>
  </si>
  <si>
    <t>冒泡排序:       273144 ms</t>
  </si>
  <si>
    <t>插入排序:       68893.3 ms</t>
  </si>
  <si>
    <t>归并排序:       70.0171 ms</t>
  </si>
  <si>
    <t>快速排序:       55.6631 ms</t>
  </si>
  <si>
    <t>选择排序:       94101.1 ms</t>
  </si>
  <si>
    <t>冒泡排序:       271655 ms</t>
  </si>
  <si>
    <t>插入排序:       69398.3 ms</t>
  </si>
  <si>
    <t>归并排序:       72.1982 ms</t>
  </si>
  <si>
    <t>快速排序:       54.3261 ms</t>
  </si>
  <si>
    <t>选择排序:       94191.3 ms</t>
  </si>
  <si>
    <t>冒泡排序:       272974 ms</t>
  </si>
  <si>
    <t>插入排序:       68681.1 ms</t>
  </si>
  <si>
    <t>归并排序:       69.4289 ms</t>
  </si>
  <si>
    <t>快速排序:       56.134 ms</t>
  </si>
  <si>
    <t>选择排序:       95548.2 ms</t>
  </si>
  <si>
    <t>冒泡排序:       271231 ms</t>
  </si>
  <si>
    <t>插入排序:       69960.3 ms</t>
  </si>
  <si>
    <t>归并排序:       63.2839 ms</t>
  </si>
  <si>
    <t>快速排序:       66.3538 ms</t>
  </si>
  <si>
    <t>选择排序:       94598.5 ms</t>
  </si>
  <si>
    <t>冒泡排序:       273076 ms</t>
  </si>
  <si>
    <t>插入排序:       68851.3 ms</t>
  </si>
  <si>
    <t>归并排序:       68.9161 ms</t>
  </si>
  <si>
    <t>快速排序:       62.34 ms</t>
  </si>
  <si>
    <t>选择排序:       94707.9 ms</t>
  </si>
  <si>
    <t>冒泡排序:       272248 ms</t>
  </si>
  <si>
    <t>插入排序:       68495.5 ms</t>
  </si>
  <si>
    <t>归并排序:       70.39 ms</t>
  </si>
  <si>
    <t>快速排序:       66.745 ms</t>
  </si>
  <si>
    <t>选择排序:       94353.9 ms</t>
  </si>
  <si>
    <t>冒泡排序:       270537 ms</t>
  </si>
  <si>
    <t>插入排序:       68500.3 ms</t>
  </si>
  <si>
    <t>归并排序:       62.3779 ms</t>
  </si>
  <si>
    <t>快速排序:       60.4949 ms</t>
  </si>
  <si>
    <t>选择排序:       95073.3 ms</t>
  </si>
  <si>
    <t>冒泡排序:       270587 ms</t>
  </si>
  <si>
    <t>插入排序:       68498.7 ms</t>
  </si>
  <si>
    <t>归并排序:       62.366 ms</t>
  </si>
  <si>
    <t>快速排序:       65.335 ms</t>
  </si>
  <si>
    <t>选择排序:       84749.7 ms</t>
  </si>
  <si>
    <t>冒泡排序:       248323 ms</t>
  </si>
  <si>
    <t>插入排序:       61440.1 ms</t>
  </si>
  <si>
    <t>归并排序:       61.8479 ms</t>
  </si>
  <si>
    <t>快速排序:       53.077 ms</t>
  </si>
  <si>
    <t>选择排序:       84463.7 ms</t>
  </si>
  <si>
    <t>冒泡排序:       247251 ms</t>
  </si>
  <si>
    <t>插入排序:       61316.3 ms</t>
  </si>
  <si>
    <t>归并排序:       62.0852 ms</t>
  </si>
  <si>
    <t>快速排序:       67.5151 ms</t>
  </si>
  <si>
    <t>选择排序:       84095.9 ms</t>
  </si>
  <si>
    <t>冒泡排序:       246764 ms</t>
  </si>
  <si>
    <t>插入排序:       61570 ms</t>
  </si>
  <si>
    <t>归并排序:       61.9609 ms</t>
  </si>
  <si>
    <t>快速排序:       54.723 ms</t>
  </si>
  <si>
    <t>选择排序:       84991.4 ms</t>
  </si>
  <si>
    <t>冒泡排序:       247169 ms</t>
  </si>
  <si>
    <t>插入排序:       61173.5 ms</t>
  </si>
  <si>
    <t>归并排序:       61.964 ms</t>
  </si>
  <si>
    <t>快速排序:       53.9958 ms</t>
  </si>
  <si>
    <t>选择排序:       83704.1 ms</t>
  </si>
  <si>
    <t>冒泡排序:       246458 ms</t>
  </si>
  <si>
    <t>插入排序:       61627.9 ms</t>
  </si>
  <si>
    <t>归并排序:       63.0751 ms</t>
  </si>
  <si>
    <t>快速排序:       56.8509 ms</t>
  </si>
  <si>
    <t>选择排序:       84612 ms</t>
  </si>
  <si>
    <t>冒泡排序:       246174 ms</t>
  </si>
  <si>
    <t>插入排序:       61193.2 ms</t>
  </si>
  <si>
    <t>归并排序:       61.913 ms</t>
  </si>
  <si>
    <t>快速排序:       57.4441 ms</t>
  </si>
  <si>
    <t>选择排序:       83835.7 ms</t>
  </si>
  <si>
    <t>冒泡排序:       246144 ms</t>
  </si>
  <si>
    <t>插入排序:       61425.1 ms</t>
  </si>
  <si>
    <t>归并排序:       61.888 ms</t>
  </si>
  <si>
    <t>快速排序:       55.0089 ms</t>
  </si>
  <si>
    <t>选择排序:       83943.3 ms</t>
  </si>
  <si>
    <t>冒泡排序:       247616 ms</t>
  </si>
  <si>
    <t>插入排序:       61474.3 ms</t>
  </si>
  <si>
    <t>归并排序:       61.806 ms</t>
  </si>
  <si>
    <t>快速排序:       55.0539 ms</t>
  </si>
  <si>
    <t>选择排序:       84256.7 ms</t>
  </si>
  <si>
    <t>冒泡排序:       246506 ms</t>
  </si>
  <si>
    <t>插入排序:       61463.4 ms</t>
  </si>
  <si>
    <t>归并排序:       62.3641 ms</t>
  </si>
  <si>
    <t>快速排序:       53.6809 ms</t>
  </si>
  <si>
    <t>选择排序:       84348.1 ms</t>
  </si>
  <si>
    <t>冒泡排序:       247020 ms</t>
  </si>
  <si>
    <t>插入排序:       61557.9 ms</t>
  </si>
  <si>
    <t>归并排序:       65.443 ms</t>
  </si>
  <si>
    <t>快速排序:       60.6859 ms</t>
  </si>
  <si>
    <t>Testing n = 300000</t>
  </si>
  <si>
    <t>选择排序:       188075 ms</t>
  </si>
  <si>
    <t>冒泡排序:       574159 ms</t>
  </si>
  <si>
    <t>插入排序:       135757 ms</t>
  </si>
  <si>
    <t>归并排序:       101.924 ms</t>
  </si>
  <si>
    <t>快速排序:       82.701 ms</t>
  </si>
  <si>
    <t>选择排序:       187881 ms</t>
  </si>
  <si>
    <t>冒泡排序:       576703 ms</t>
  </si>
  <si>
    <t>插入排序:       136942 ms</t>
  </si>
  <si>
    <t>归并排序:       98.52 ms</t>
  </si>
  <si>
    <t>快速排序:       82.093 ms</t>
  </si>
  <si>
    <t>选择排序:       188499 ms</t>
  </si>
  <si>
    <t>冒泡排序:       575005 ms</t>
  </si>
  <si>
    <t>插入排序:       136248 ms</t>
  </si>
  <si>
    <t>归并排序:       98.5479 ms</t>
  </si>
  <si>
    <t>快速排序:       80.6959 ms</t>
  </si>
  <si>
    <t>选择排序:       188002 ms</t>
  </si>
  <si>
    <t>冒泡排序:       573759 ms</t>
  </si>
  <si>
    <t>插入排序:       137088 ms</t>
  </si>
  <si>
    <t>归并排序:       98.6362 ms</t>
  </si>
  <si>
    <t>快速排序:       81.0759 ms</t>
  </si>
  <si>
    <t>选择排序:       187413 ms</t>
  </si>
  <si>
    <t>冒泡排序:       572780 ms</t>
  </si>
  <si>
    <t>插入排序:       135235 ms</t>
  </si>
  <si>
    <t>归并排序:       103.707 ms</t>
  </si>
  <si>
    <t>快速排序:       86.6799 ms</t>
  </si>
  <si>
    <t>选择排序:       187920 ms</t>
  </si>
  <si>
    <t>冒泡排序:       573926 ms</t>
  </si>
  <si>
    <t>插入排序:       135852 ms</t>
  </si>
  <si>
    <t>归并排序:       98.376 ms</t>
  </si>
  <si>
    <t>快速排序:       84.4829 ms</t>
  </si>
  <si>
    <t>选择排序:       187536 ms</t>
  </si>
  <si>
    <t>冒泡排序:       576645 ms</t>
  </si>
  <si>
    <t>插入排序:       135813 ms</t>
  </si>
  <si>
    <t>归并排序:       98.2451 ms</t>
  </si>
  <si>
    <t>快速排序:       84.1341 ms</t>
  </si>
  <si>
    <t>选择排序:       187254 ms</t>
  </si>
  <si>
    <t>冒泡排序:       573641 ms</t>
  </si>
  <si>
    <t>插入排序:       135215 ms</t>
  </si>
  <si>
    <t>归并排序:       98.412 ms</t>
  </si>
  <si>
    <t>快速排序:       84.7528 ms</t>
  </si>
  <si>
    <t>选择排序:       186873 ms</t>
  </si>
  <si>
    <t>冒泡排序:       574322 ms</t>
  </si>
  <si>
    <t>插入排序:       135766 ms</t>
  </si>
  <si>
    <t>归并排序:       98.1379 ms</t>
  </si>
  <si>
    <t>快速排序:       82.0138 ms</t>
  </si>
  <si>
    <t>选择排序:       187837 ms</t>
  </si>
  <si>
    <t>冒泡排序:       572270 ms</t>
  </si>
  <si>
    <t>插入排序:       135152 ms</t>
  </si>
  <si>
    <t>归并排序:       98.2721 ms</t>
  </si>
  <si>
    <t>快速排序:       83.195 ms</t>
  </si>
  <si>
    <t>选择排序:</t>
  </si>
  <si>
    <t>冒泡排序:</t>
  </si>
  <si>
    <t>插入排序:</t>
  </si>
  <si>
    <t>归并排序:</t>
  </si>
  <si>
    <t>快速排序:</t>
  </si>
  <si>
    <t>选择排序:       189718 ms</t>
  </si>
  <si>
    <t>冒泡排序:       554830 ms</t>
  </si>
  <si>
    <t>插入排序:       137556 ms</t>
  </si>
  <si>
    <t>归并排序:       95.2549 ms</t>
  </si>
  <si>
    <t>快速排序:       85.2418 ms</t>
  </si>
  <si>
    <t>选择排序:       190860 ms</t>
  </si>
  <si>
    <t>冒泡排序:       560417 ms</t>
  </si>
  <si>
    <t>插入排序:       139993 ms</t>
  </si>
  <si>
    <t>归并排序:       96.3161 ms</t>
  </si>
  <si>
    <t>快速排序:       85.1641 ms</t>
  </si>
  <si>
    <t>选择排序:       190205 ms</t>
  </si>
  <si>
    <t>冒泡排序:       557322 ms</t>
  </si>
  <si>
    <t>插入排序:       138009 ms</t>
  </si>
  <si>
    <t>归并排序:       95.1629 ms</t>
  </si>
  <si>
    <t>快速排序:       82.927 ms</t>
  </si>
  <si>
    <t>选择排序:       189280 ms</t>
  </si>
  <si>
    <t>冒泡排序:       558259 ms</t>
  </si>
  <si>
    <t>插入排序:       137739 ms</t>
  </si>
  <si>
    <t>归并排序:       95.0999 ms</t>
  </si>
  <si>
    <t>快速排序:       82.634 ms</t>
  </si>
  <si>
    <t>选择排序:       189685 ms</t>
  </si>
  <si>
    <t>冒泡排序:       561372 ms</t>
  </si>
  <si>
    <t>插入排序:       137996 ms</t>
  </si>
  <si>
    <t>归并排序:       95.053 ms</t>
  </si>
  <si>
    <t>快速排序:       81.321 ms</t>
  </si>
  <si>
    <t>选择排序:       190367 ms</t>
  </si>
  <si>
    <t>冒泡排序:       557576 ms</t>
  </si>
  <si>
    <t>插入排序:       137689 ms</t>
  </si>
  <si>
    <t>归并排序:       103.211 ms</t>
  </si>
  <si>
    <t>快速排序:       85.376 ms</t>
  </si>
  <si>
    <t>选择排序:       189136 ms</t>
  </si>
  <si>
    <t>冒泡排序:       558032 ms</t>
  </si>
  <si>
    <t>插入排序:       137514 ms</t>
  </si>
  <si>
    <t>归并排序:       95.844 ms</t>
  </si>
  <si>
    <t>快速排序:       87.425 ms</t>
  </si>
  <si>
    <t>选择排序:       189697 ms</t>
  </si>
  <si>
    <t>冒泡排序:       557890 ms</t>
  </si>
  <si>
    <t>插入排序:       138144 ms</t>
  </si>
  <si>
    <t>归并排序:       96.2272 ms</t>
  </si>
  <si>
    <t>快速排序:       86.298 ms</t>
  </si>
  <si>
    <t>选择排序:       189716 ms</t>
  </si>
  <si>
    <t>冒泡排序:       562880 ms</t>
  </si>
  <si>
    <t>插入排序:       138664 ms</t>
  </si>
  <si>
    <t>归并排序:       97.326 ms</t>
  </si>
  <si>
    <t>快速排序:       83.358 ms</t>
  </si>
  <si>
    <t>选择排序:       190750 ms</t>
  </si>
  <si>
    <t>冒泡排序:       564909 ms</t>
  </si>
  <si>
    <t>插入排序:       141439 ms</t>
  </si>
  <si>
    <t>归并排序:       95.108 ms</t>
  </si>
  <si>
    <t>快速排序:       86.9431 ms</t>
  </si>
  <si>
    <t>Testing n = 400000</t>
  </si>
  <si>
    <t>冒泡排序:       1.10414e+06 ms</t>
  </si>
  <si>
    <t>插入排序:       278939 ms</t>
  </si>
  <si>
    <t>归并排序:       142.756 ms</t>
  </si>
  <si>
    <t>快速排序:       139.741 ms</t>
  </si>
  <si>
    <t>选择排序:       378565 ms</t>
  </si>
  <si>
    <t>冒泡排序:       1.09879e+06 ms</t>
  </si>
  <si>
    <t>插入排序:       275013 ms</t>
  </si>
  <si>
    <t>归并排序:       142.754 ms</t>
  </si>
  <si>
    <t>快速排序:       125.748 ms</t>
  </si>
  <si>
    <t>选择排序:       378245 ms</t>
  </si>
  <si>
    <t>冒泡排序:       1.10255e+06 ms</t>
  </si>
  <si>
    <t>插入排序:       281784 ms</t>
  </si>
  <si>
    <t>归并排序:       145.197 ms</t>
  </si>
  <si>
    <t>快速排序:       120.319 ms</t>
  </si>
  <si>
    <t xml:space="preserve">选择排序: </t>
  </si>
  <si>
    <t>314824 ms</t>
  </si>
  <si>
    <t xml:space="preserve">冒泡排序: </t>
  </si>
  <si>
    <t>1.00671e+06 ms</t>
  </si>
  <si>
    <t xml:space="preserve">插入排序: </t>
  </si>
  <si>
    <t>222250 ms</t>
  </si>
  <si>
    <t xml:space="preserve">归并排序: </t>
  </si>
  <si>
    <t>128.853 ms</t>
  </si>
  <si>
    <t xml:space="preserve">快速排序: </t>
  </si>
  <si>
    <t>111.653 ms</t>
  </si>
  <si>
    <t>315229 ms</t>
  </si>
  <si>
    <t>1.00568e+06 ms</t>
  </si>
  <si>
    <t>221516 ms</t>
  </si>
  <si>
    <t>133.334 ms</t>
  </si>
  <si>
    <t>118.67 ms</t>
  </si>
  <si>
    <t>314108 ms</t>
  </si>
  <si>
    <t>1.00521e+06 ms</t>
  </si>
  <si>
    <t>222378 ms</t>
  </si>
  <si>
    <t>129.465 ms</t>
  </si>
  <si>
    <t>110.811 ms</t>
  </si>
  <si>
    <t>313730 ms</t>
  </si>
  <si>
    <t>1.00334e+06 ms</t>
  </si>
  <si>
    <t>222240 ms</t>
  </si>
  <si>
    <t>129.277 ms</t>
  </si>
  <si>
    <t>112.917 ms</t>
  </si>
  <si>
    <t>313474 ms</t>
  </si>
  <si>
    <t>1.00307e+06 ms</t>
  </si>
  <si>
    <t>222074 ms</t>
  </si>
  <si>
    <t>128.486 ms</t>
  </si>
  <si>
    <t>109.791 ms</t>
  </si>
  <si>
    <t>307631 ms</t>
  </si>
  <si>
    <t>969611 ms</t>
  </si>
  <si>
    <t>225753 ms</t>
  </si>
  <si>
    <t>136.987 ms</t>
  </si>
  <si>
    <t>111.59 ms</t>
  </si>
  <si>
    <t>969771 ms</t>
  </si>
  <si>
    <t>226903 ms</t>
  </si>
  <si>
    <t>129.935 ms</t>
  </si>
  <si>
    <t>107.032 ms</t>
  </si>
  <si>
    <t>Testing n = 500000</t>
  </si>
  <si>
    <t>481701 ms</t>
  </si>
  <si>
    <t>1.51741e+06 ms</t>
  </si>
  <si>
    <t>355462 ms</t>
  </si>
  <si>
    <t>165.575 ms</t>
  </si>
  <si>
    <t>141.425 ms</t>
  </si>
  <si>
    <t>481032 ms</t>
  </si>
  <si>
    <t>1.51828e+06 ms</t>
  </si>
  <si>
    <t>354767 ms</t>
  </si>
  <si>
    <t>165.178 ms</t>
  </si>
  <si>
    <t>135.017 ms</t>
  </si>
  <si>
    <t>Testing n = 400000</t>
    <phoneticPr fontId="1" type="noConversion"/>
  </si>
  <si>
    <t>选择排序:       378464 ms</t>
    <phoneticPr fontId="1" type="noConversion"/>
  </si>
  <si>
    <t xml:space="preserve">选择排序: </t>
    <phoneticPr fontId="1" type="noConversion"/>
  </si>
  <si>
    <t>308227 ms</t>
    <phoneticPr fontId="1" type="noConversion"/>
  </si>
  <si>
    <t>60w</t>
  </si>
  <si>
    <t>70w</t>
  </si>
  <si>
    <t>80w</t>
  </si>
  <si>
    <t>90w</t>
  </si>
  <si>
    <t>100w</t>
  </si>
  <si>
    <t>478707 ms</t>
  </si>
  <si>
    <t>1.51079e+06 ms</t>
  </si>
  <si>
    <t>352416 ms</t>
  </si>
  <si>
    <t>165.216 ms</t>
  </si>
  <si>
    <t>141.209 ms</t>
  </si>
  <si>
    <t>517980 ms</t>
  </si>
  <si>
    <t>1.5365e+06 ms</t>
  </si>
  <si>
    <t>376303 ms</t>
  </si>
  <si>
    <t>165.619 ms</t>
  </si>
  <si>
    <t>144.932 ms</t>
  </si>
  <si>
    <t>519826 ms</t>
  </si>
  <si>
    <t>1.53699e+06 ms</t>
  </si>
  <si>
    <t>378983 ms</t>
  </si>
  <si>
    <t>166.72 ms</t>
  </si>
  <si>
    <t>145.244 ms</t>
  </si>
  <si>
    <t>522035 ms</t>
  </si>
  <si>
    <t>1.54262e+06 ms</t>
  </si>
  <si>
    <t>379279 ms</t>
  </si>
  <si>
    <t>165.518 ms</t>
  </si>
  <si>
    <t>143.86 ms</t>
  </si>
  <si>
    <t>520848 ms</t>
  </si>
  <si>
    <t>1.53899e+06 ms</t>
  </si>
  <si>
    <t>377699 ms</t>
  </si>
  <si>
    <t>166.017 ms</t>
  </si>
  <si>
    <t>142.426 ms</t>
  </si>
  <si>
    <t>518721 ms</t>
  </si>
  <si>
    <t>1.53425e+06 ms</t>
  </si>
  <si>
    <t>376462 ms</t>
  </si>
  <si>
    <t>176.24 ms</t>
  </si>
  <si>
    <t>144.618 ms</t>
  </si>
  <si>
    <t>518829 ms</t>
  </si>
  <si>
    <t>1.53694e+06 ms</t>
  </si>
  <si>
    <t>377502 ms</t>
  </si>
  <si>
    <t>165.349 ms</t>
  </si>
  <si>
    <t>149.453 ms</t>
  </si>
  <si>
    <t>519577 ms</t>
  </si>
  <si>
    <t>1.53893e+06 ms</t>
  </si>
  <si>
    <t>377291 ms</t>
  </si>
  <si>
    <t>166.226 smms</t>
  </si>
  <si>
    <t>Testing n = 600000</t>
  </si>
  <si>
    <t>208.364 ms</t>
  </si>
  <si>
    <t>176.577 ms</t>
  </si>
  <si>
    <t>203.293 ms</t>
  </si>
  <si>
    <t>188.129 ms</t>
  </si>
  <si>
    <t>212.393 ms</t>
  </si>
  <si>
    <t>173.115 ms</t>
  </si>
  <si>
    <t>227.588 ms</t>
  </si>
  <si>
    <t>180.532 ms</t>
  </si>
  <si>
    <t>203.102 ms</t>
  </si>
  <si>
    <t>175.683 ms</t>
  </si>
  <si>
    <t>202.884 ms</t>
  </si>
  <si>
    <t>180.196 ms</t>
  </si>
  <si>
    <t>200.909 ms</t>
  </si>
  <si>
    <t>176.844 ms</t>
  </si>
  <si>
    <t>205.305 ms</t>
  </si>
  <si>
    <t>197.444 ms</t>
  </si>
  <si>
    <t>208.934 ms</t>
  </si>
  <si>
    <t>180.076 ms</t>
  </si>
  <si>
    <t>201.557 ms</t>
  </si>
  <si>
    <t>173.561 ms</t>
  </si>
  <si>
    <t>205.173 ms</t>
  </si>
  <si>
    <t>177.709 ms</t>
  </si>
  <si>
    <t>206.98 ms</t>
  </si>
  <si>
    <t>175.829 ms</t>
  </si>
  <si>
    <t>206.64 ms</t>
  </si>
  <si>
    <t>185.31 ms</t>
  </si>
  <si>
    <t>203.39 ms</t>
  </si>
  <si>
    <t>178.259 ms</t>
  </si>
  <si>
    <t>202.134 ms</t>
  </si>
  <si>
    <t>170.993 ms</t>
  </si>
  <si>
    <t>215.037 ms</t>
  </si>
  <si>
    <t>181.32 ms</t>
  </si>
  <si>
    <t>201.968 ms</t>
  </si>
  <si>
    <t>173.765 ms</t>
  </si>
  <si>
    <t>200.784 ms</t>
  </si>
  <si>
    <t>227.242 ms</t>
  </si>
  <si>
    <t>229.931 ms</t>
  </si>
  <si>
    <t>210.894 ms</t>
  </si>
  <si>
    <t>211.241 ms</t>
  </si>
  <si>
    <t>177.171 ms</t>
  </si>
  <si>
    <t>Testing n = 700000</t>
  </si>
  <si>
    <t>246.376 ms</t>
  </si>
  <si>
    <t>205.946 ms</t>
  </si>
  <si>
    <t>238.404 ms</t>
  </si>
  <si>
    <t>205.748 ms</t>
  </si>
  <si>
    <t>236.883 ms</t>
  </si>
  <si>
    <t>227.075 ms</t>
  </si>
  <si>
    <t>242.79 ms</t>
  </si>
  <si>
    <t>202.459 ms</t>
  </si>
  <si>
    <t>240.888 ms</t>
  </si>
  <si>
    <t>211.182 ms</t>
  </si>
  <si>
    <t>237.193 ms</t>
  </si>
  <si>
    <t>217.038 ms</t>
  </si>
  <si>
    <t>241.882 ms</t>
  </si>
  <si>
    <t>212.935 ms</t>
  </si>
  <si>
    <t>238.084 ms</t>
  </si>
  <si>
    <t>211.888 ms</t>
  </si>
  <si>
    <t>237.418 ms</t>
  </si>
  <si>
    <t>209.485 ms</t>
  </si>
  <si>
    <t>238.942 ms</t>
  </si>
  <si>
    <t>203.51 ms</t>
  </si>
  <si>
    <t>249.501 ms</t>
  </si>
  <si>
    <t>202.011 ms</t>
  </si>
  <si>
    <t>239.458 ms</t>
  </si>
  <si>
    <t>207.666 ms</t>
  </si>
  <si>
    <t>238.47 ms</t>
  </si>
  <si>
    <t>205.712 ms</t>
  </si>
  <si>
    <t>239.702 ms</t>
  </si>
  <si>
    <t>211.127 ms</t>
  </si>
  <si>
    <t>239.057 ms</t>
  </si>
  <si>
    <t>207.945 ms</t>
  </si>
  <si>
    <t>238.389 ms</t>
  </si>
  <si>
    <t>201.971 ms</t>
  </si>
  <si>
    <t>238.851 ms</t>
  </si>
  <si>
    <t>204.32 ms</t>
  </si>
  <si>
    <t>237.51 ms</t>
  </si>
  <si>
    <t>216.957 ms</t>
  </si>
  <si>
    <t>237.473 ms</t>
  </si>
  <si>
    <t>211.874 ms</t>
  </si>
  <si>
    <t>239.216 ms</t>
  </si>
  <si>
    <t>244.48 ms</t>
  </si>
  <si>
    <t>Testing n = 800000</t>
  </si>
  <si>
    <t>277.395 ms</t>
  </si>
  <si>
    <t>268.831 ms</t>
  </si>
  <si>
    <t>296.906 ms</t>
  </si>
  <si>
    <t>243.87 ms</t>
  </si>
  <si>
    <t>273.117 ms</t>
  </si>
  <si>
    <t>241.543 ms</t>
  </si>
  <si>
    <t>291.327 ms</t>
  </si>
  <si>
    <t>237.051 ms</t>
  </si>
  <si>
    <t>273.124 ms</t>
  </si>
  <si>
    <t>239.305 ms</t>
  </si>
  <si>
    <t>273.378 ms</t>
  </si>
  <si>
    <t>230.352 ms</t>
  </si>
  <si>
    <t>282.787 ms</t>
  </si>
  <si>
    <t>234.595 ms</t>
  </si>
  <si>
    <t>272.343 ms</t>
  </si>
  <si>
    <t>235.328 ms</t>
  </si>
  <si>
    <t>273.263 ms</t>
  </si>
  <si>
    <t>240.581 ms</t>
  </si>
  <si>
    <t>273.772 ms</t>
  </si>
  <si>
    <t>236.323 ms</t>
  </si>
  <si>
    <t>272.675 ms</t>
  </si>
  <si>
    <t>259.435 ms</t>
  </si>
  <si>
    <t>282.468 ms</t>
  </si>
  <si>
    <t>254.022 ms</t>
  </si>
  <si>
    <t>290.105 ms</t>
  </si>
  <si>
    <t>260.155 ms</t>
  </si>
  <si>
    <t>286.035 ms</t>
  </si>
  <si>
    <t>256.887 ms</t>
  </si>
  <si>
    <t>286.719 ms</t>
  </si>
  <si>
    <t>282.128 ms</t>
  </si>
  <si>
    <t>272.612 ms</t>
  </si>
  <si>
    <t>232.722 ms</t>
  </si>
  <si>
    <t>273.61 ms</t>
  </si>
  <si>
    <t>237.008 ms</t>
  </si>
  <si>
    <t>277.036 ms</t>
  </si>
  <si>
    <t>237.685 ms</t>
  </si>
  <si>
    <t>272.261 ms</t>
  </si>
  <si>
    <t>235.735 ms</t>
  </si>
  <si>
    <t>274.753 ms</t>
  </si>
  <si>
    <t>244.359 ms</t>
  </si>
  <si>
    <t>Testing n = 900000</t>
  </si>
  <si>
    <t>308.09 ms</t>
  </si>
  <si>
    <t>266.032 ms</t>
  </si>
  <si>
    <t>307.887 ms</t>
  </si>
  <si>
    <t>272.473 ms</t>
  </si>
  <si>
    <t>308.534 ms</t>
  </si>
  <si>
    <t>279.137 ms</t>
  </si>
  <si>
    <t>308.263 ms</t>
  </si>
  <si>
    <t>273.885 ms</t>
  </si>
  <si>
    <t>313.076 ms</t>
  </si>
  <si>
    <t>271.666 ms</t>
  </si>
  <si>
    <t>307.301 ms</t>
  </si>
  <si>
    <t>267.925 ms</t>
  </si>
  <si>
    <t>308.707 ms</t>
  </si>
  <si>
    <t>272.808 ms</t>
  </si>
  <si>
    <t>332.92 ms</t>
  </si>
  <si>
    <t>275.293 ms</t>
  </si>
  <si>
    <t>311.118 ms</t>
  </si>
  <si>
    <t>264.711 ms</t>
  </si>
  <si>
    <t>315.226 ms</t>
  </si>
  <si>
    <t>273.523 ms</t>
  </si>
  <si>
    <t>310.584 ms</t>
  </si>
  <si>
    <t>270.918 ms</t>
  </si>
  <si>
    <t>317.415 ms</t>
  </si>
  <si>
    <t>267.493 ms</t>
  </si>
  <si>
    <t>313.578 ms</t>
  </si>
  <si>
    <t>284.82 ms</t>
  </si>
  <si>
    <t>307.19 ms</t>
  </si>
  <si>
    <t>273.322 ms</t>
  </si>
  <si>
    <t>307.176 ms</t>
  </si>
  <si>
    <t>267.667 ms</t>
  </si>
  <si>
    <t>309.163 ms</t>
  </si>
  <si>
    <t>267.787 ms</t>
  </si>
  <si>
    <t>318.505 ms</t>
  </si>
  <si>
    <t>267.854 ms</t>
  </si>
  <si>
    <t>311.018 ms</t>
  </si>
  <si>
    <t>273.577 ms</t>
  </si>
  <si>
    <t>394.191 ms</t>
  </si>
  <si>
    <t>271.719 ms</t>
  </si>
  <si>
    <t>309.509 ms</t>
  </si>
  <si>
    <t>279.026 ms</t>
  </si>
  <si>
    <t>Testing n = 10000000</t>
  </si>
  <si>
    <t>3976.67 ms</t>
  </si>
  <si>
    <t>3545.81 ms</t>
  </si>
  <si>
    <t>3972.78 ms</t>
  </si>
  <si>
    <t>3547.66 ms</t>
  </si>
  <si>
    <t>3965.51 ms</t>
  </si>
  <si>
    <t>3505.65 ms</t>
  </si>
  <si>
    <t>3965.12 ms</t>
  </si>
  <si>
    <t>3522.51 ms</t>
  </si>
  <si>
    <t>3930.81 ms</t>
  </si>
  <si>
    <t>3477.67 ms</t>
  </si>
  <si>
    <t>4033.69 ms</t>
  </si>
  <si>
    <t>3546.06 ms</t>
  </si>
  <si>
    <t>3990.58 ms</t>
  </si>
  <si>
    <t>3658.33 ms</t>
  </si>
  <si>
    <t>4086.23 ms</t>
  </si>
  <si>
    <t>3685.21 ms</t>
  </si>
  <si>
    <t>4148.04 ms</t>
  </si>
  <si>
    <t>3580.65 ms</t>
  </si>
  <si>
    <t>4039.56 ms</t>
  </si>
  <si>
    <t>3469.93 ms</t>
  </si>
  <si>
    <t>4056.84 ms</t>
  </si>
  <si>
    <t>3659.65 ms</t>
  </si>
  <si>
    <t>3995.25 ms</t>
  </si>
  <si>
    <t>3658.1 ms</t>
  </si>
  <si>
    <t>3989.49 ms</t>
  </si>
  <si>
    <t>3529.61 ms</t>
  </si>
  <si>
    <t>3983.71 ms</t>
  </si>
  <si>
    <t>3508.79 ms</t>
  </si>
  <si>
    <t>3985.83 ms</t>
  </si>
  <si>
    <t>3552.74 ms</t>
  </si>
  <si>
    <t>4006.82 ms</t>
  </si>
  <si>
    <t>3473.44 ms</t>
  </si>
  <si>
    <t>4009.18 ms</t>
  </si>
  <si>
    <t>3541 ms</t>
  </si>
  <si>
    <t>4010.48 ms</t>
  </si>
  <si>
    <t>3676.24 ms</t>
  </si>
  <si>
    <t>4159.8 ms</t>
  </si>
  <si>
    <t>3569.16 ms</t>
  </si>
  <si>
    <t>3983.74 ms</t>
  </si>
  <si>
    <t>3552.12 ms</t>
  </si>
  <si>
    <t>Testing n = 5000000</t>
  </si>
  <si>
    <t>1907.89 ms</t>
  </si>
  <si>
    <t>1795.1 ms</t>
  </si>
  <si>
    <t>1943.98 ms</t>
  </si>
  <si>
    <t>1864.14 ms</t>
  </si>
  <si>
    <t>1912.32 ms</t>
  </si>
  <si>
    <t>1802.77 ms</t>
  </si>
  <si>
    <t>1939.01 ms</t>
  </si>
  <si>
    <t>1878.29 ms</t>
  </si>
  <si>
    <t>1899.35 ms</t>
  </si>
  <si>
    <t>1780.23 ms</t>
  </si>
  <si>
    <t>1929.27 ms</t>
  </si>
  <si>
    <t>1848.47 ms</t>
  </si>
  <si>
    <t>1912.62 ms</t>
  </si>
  <si>
    <t>1821.19 ms</t>
  </si>
  <si>
    <t>1903.95 ms</t>
  </si>
  <si>
    <t>1829.75 ms</t>
  </si>
  <si>
    <t>1915.33 ms</t>
  </si>
  <si>
    <t>1844.69 ms</t>
  </si>
  <si>
    <t>1955.2 ms</t>
  </si>
  <si>
    <t>1876.96 ms</t>
  </si>
  <si>
    <t>1906.47 ms</t>
  </si>
  <si>
    <t>1821.69 ms</t>
  </si>
  <si>
    <t>1904.59 ms</t>
  </si>
  <si>
    <t>1841.78 ms</t>
  </si>
  <si>
    <t>1924.29 ms</t>
  </si>
  <si>
    <t>1859.14 ms</t>
  </si>
  <si>
    <t>1966.82 ms</t>
  </si>
  <si>
    <t>1951.19 ms</t>
  </si>
  <si>
    <t>1934.3 ms</t>
  </si>
  <si>
    <t>1908.25 ms</t>
  </si>
  <si>
    <t>1967.24 ms</t>
  </si>
  <si>
    <t>1854.55 ms</t>
  </si>
  <si>
    <t>1930.19 ms</t>
  </si>
  <si>
    <t>1875.98 ms</t>
  </si>
  <si>
    <t>2049.9 ms</t>
  </si>
  <si>
    <t>1936.32 ms</t>
  </si>
  <si>
    <t>2099.44 ms</t>
  </si>
  <si>
    <t>1933.88 ms</t>
  </si>
  <si>
    <t>2072.19 ms</t>
  </si>
  <si>
    <t>1853.15 ms</t>
  </si>
  <si>
    <t>Testing n = 1000000</t>
  </si>
  <si>
    <t>353.19 ms</t>
  </si>
  <si>
    <t>367.172 ms</t>
  </si>
  <si>
    <t>347.55 ms</t>
  </si>
  <si>
    <t>333.496 ms</t>
  </si>
  <si>
    <t>375.755 ms</t>
  </si>
  <si>
    <t>335.93 ms</t>
  </si>
  <si>
    <t>353.629 ms</t>
  </si>
  <si>
    <t>331.909 ms</t>
  </si>
  <si>
    <t>349.139 ms</t>
  </si>
  <si>
    <t>326.288 ms</t>
  </si>
  <si>
    <t>347.975 ms</t>
  </si>
  <si>
    <t>330.147 ms</t>
  </si>
  <si>
    <t>348.295 ms</t>
  </si>
  <si>
    <t>336.205 ms</t>
  </si>
  <si>
    <t>344.274 ms</t>
  </si>
  <si>
    <t>334.833 ms</t>
  </si>
  <si>
    <t>345.018 ms</t>
  </si>
  <si>
    <t>335.634 ms</t>
  </si>
  <si>
    <t>344.424 ms</t>
  </si>
  <si>
    <t>334.278 ms</t>
  </si>
  <si>
    <t>356.649 ms</t>
  </si>
  <si>
    <t>341.085 ms</t>
  </si>
  <si>
    <t>355.526 ms</t>
  </si>
  <si>
    <t>334.395 ms</t>
  </si>
  <si>
    <t>345.855 ms</t>
  </si>
  <si>
    <t>333.402 ms</t>
  </si>
  <si>
    <t>346.154 ms</t>
  </si>
  <si>
    <t>344.915 ms</t>
  </si>
  <si>
    <t>343.979 ms</t>
  </si>
  <si>
    <t>330.799 ms</t>
  </si>
  <si>
    <t>344.616 ms</t>
  </si>
  <si>
    <t>327.284 ms</t>
  </si>
  <si>
    <t>366.533 ms</t>
  </si>
  <si>
    <t>336.034 ms</t>
  </si>
  <si>
    <t>343.507 ms</t>
  </si>
  <si>
    <t>343.671 ms</t>
  </si>
  <si>
    <t>350.512 ms</t>
  </si>
  <si>
    <t>347.452 ms</t>
  </si>
  <si>
    <t>343.784 ms</t>
  </si>
  <si>
    <t>334.53 ms</t>
  </si>
  <si>
    <t>500w</t>
    <phoneticPr fontId="1" type="noConversion"/>
  </si>
  <si>
    <t>1000w</t>
    <phoneticPr fontId="1" type="noConversion"/>
  </si>
  <si>
    <t>n = 600000</t>
  </si>
  <si>
    <t>n = 700000</t>
  </si>
  <si>
    <t>n = 800000</t>
  </si>
  <si>
    <t>n = 900000</t>
  </si>
  <si>
    <t>n = 1000000</t>
    <phoneticPr fontId="1" type="noConversion"/>
  </si>
  <si>
    <t>n = 5000000</t>
  </si>
  <si>
    <t>n = 10000000</t>
  </si>
  <si>
    <t>规模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</si>
</sst>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40404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40404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选择排序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Sheet1!$B$2:$G$2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xVal>
          <c:yVal>
            <c:numRef>
              <c:f>Sheet1!$B$3:$G$3</c:f>
              <c:numCache>
                <c:formatCode>General</c:formatCode>
                <c:ptCount val="6"/>
                <c:pt idx="0">
                  <c:v>223.56818749999999</c:v>
                </c:pt>
                <c:pt idx="1">
                  <c:v>22356.818749999999</c:v>
                </c:pt>
                <c:pt idx="2">
                  <c:v>89427.274999999994</c:v>
                </c:pt>
                <c:pt idx="3">
                  <c:v>201211.36874999999</c:v>
                </c:pt>
                <c:pt idx="4">
                  <c:v>357709.1</c:v>
                </c:pt>
                <c:pt idx="5">
                  <c:v>558920.46875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9C-4761-ACF9-0BBE14194E9E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Sheet1!$B$2:$G$2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xVal>
          <c:yVal>
            <c:numRef>
              <c:f>Sheet1!$B$4:$G$4</c:f>
              <c:numCache>
                <c:formatCode>General</c:formatCode>
                <c:ptCount val="6"/>
                <c:pt idx="0">
                  <c:v>239.31175000000002</c:v>
                </c:pt>
                <c:pt idx="1">
                  <c:v>21664.304999999997</c:v>
                </c:pt>
                <c:pt idx="2">
                  <c:v>89427.274999999994</c:v>
                </c:pt>
                <c:pt idx="3">
                  <c:v>188835.20000000001</c:v>
                </c:pt>
                <c:pt idx="4">
                  <c:v>332249.7</c:v>
                </c:pt>
                <c:pt idx="5">
                  <c:v>507925.6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9C-4761-ACF9-0BBE14194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623840"/>
        <c:axId val="472643040"/>
      </c:scatterChart>
      <c:valAx>
        <c:axId val="4726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2643040"/>
        <c:crosses val="autoZero"/>
        <c:crossBetween val="midCat"/>
      </c:valAx>
      <c:valAx>
        <c:axId val="4726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262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冒泡排序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411111111111111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Sheet1!$J$2:$O$2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xVal>
          <c:yVal>
            <c:numRef>
              <c:f>Sheet1!$J$3:$O$3</c:f>
              <c:numCache>
                <c:formatCode>General</c:formatCode>
                <c:ptCount val="6"/>
                <c:pt idx="0">
                  <c:v>648.59825000000001</c:v>
                </c:pt>
                <c:pt idx="1">
                  <c:v>64859.824999999997</c:v>
                </c:pt>
                <c:pt idx="2">
                  <c:v>259439.3</c:v>
                </c:pt>
                <c:pt idx="3">
                  <c:v>583738.42499999993</c:v>
                </c:pt>
                <c:pt idx="4">
                  <c:v>1037757.2</c:v>
                </c:pt>
                <c:pt idx="5">
                  <c:v>1621495.625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6A-47F6-B100-DBA384F98D9E}"/>
            </c:ext>
          </c:extLst>
        </c:ser>
        <c:ser>
          <c:idx val="1"/>
          <c:order val="1"/>
          <c:tx>
            <c:strRef>
              <c:f>Sheet1!$I$4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Sheet1!$J$2:$O$2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xVal>
          <c:yVal>
            <c:numRef>
              <c:f>Sheet1!$J$4:$O$4</c:f>
              <c:numCache>
                <c:formatCode>General</c:formatCode>
                <c:ptCount val="6"/>
                <c:pt idx="0">
                  <c:v>491.7408999999999</c:v>
                </c:pt>
                <c:pt idx="1">
                  <c:v>65478.24500000001</c:v>
                </c:pt>
                <c:pt idx="2">
                  <c:v>259439.3</c:v>
                </c:pt>
                <c:pt idx="3">
                  <c:v>566834.85</c:v>
                </c:pt>
                <c:pt idx="4">
                  <c:v>1026887.2</c:v>
                </c:pt>
                <c:pt idx="5">
                  <c:v>1531170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6A-47F6-B100-DBA384F98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440864"/>
        <c:axId val="484436064"/>
      </c:scatterChart>
      <c:valAx>
        <c:axId val="48444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436064"/>
        <c:crosses val="autoZero"/>
        <c:crossBetween val="midCat"/>
      </c:valAx>
      <c:valAx>
        <c:axId val="4844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44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插入排序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Sheet1!$R$2:$W$2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xVal>
          <c:yVal>
            <c:numRef>
              <c:f>Sheet1!$R$3:$W$3</c:f>
              <c:numCache>
                <c:formatCode>General</c:formatCode>
                <c:ptCount val="6"/>
                <c:pt idx="0">
                  <c:v>162.84191250000001</c:v>
                </c:pt>
                <c:pt idx="1">
                  <c:v>16284.19125</c:v>
                </c:pt>
                <c:pt idx="2">
                  <c:v>65136.764999999999</c:v>
                </c:pt>
                <c:pt idx="3">
                  <c:v>146557.72125</c:v>
                </c:pt>
                <c:pt idx="4">
                  <c:v>260547.06</c:v>
                </c:pt>
                <c:pt idx="5">
                  <c:v>407104.78125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6D-4641-9CA7-5D84252306BB}"/>
            </c:ext>
          </c:extLst>
        </c:ser>
        <c:ser>
          <c:idx val="1"/>
          <c:order val="1"/>
          <c:tx>
            <c:strRef>
              <c:f>Sheet1!$Q$4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Sheet1!$R$2:$W$2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xVal>
          <c:yVal>
            <c:numRef>
              <c:f>Sheet1!$R$4:$W$4</c:f>
              <c:numCache>
                <c:formatCode>General</c:formatCode>
                <c:ptCount val="6"/>
                <c:pt idx="0">
                  <c:v>157.44120000000001</c:v>
                </c:pt>
                <c:pt idx="1">
                  <c:v>15129.904999999995</c:v>
                </c:pt>
                <c:pt idx="2">
                  <c:v>65136.764999999999</c:v>
                </c:pt>
                <c:pt idx="3">
                  <c:v>137190.54999999999</c:v>
                </c:pt>
                <c:pt idx="4">
                  <c:v>239885</c:v>
                </c:pt>
                <c:pt idx="5">
                  <c:v>370616.4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6D-4641-9CA7-5D8425230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634880"/>
        <c:axId val="472646880"/>
      </c:scatterChart>
      <c:valAx>
        <c:axId val="47263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2646880"/>
        <c:crosses val="autoZero"/>
        <c:crossBetween val="midCat"/>
      </c:valAx>
      <c:valAx>
        <c:axId val="4726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263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归并排序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Sheet1!$Z$2:$AJ$2</c:f>
              <c:numCache>
                <c:formatCode>General</c:formatCode>
                <c:ptCount val="11"/>
                <c:pt idx="0">
                  <c:v>10000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  <c:pt idx="6">
                  <c:v>600000</c:v>
                </c:pt>
                <c:pt idx="7">
                  <c:v>700000</c:v>
                </c:pt>
                <c:pt idx="8">
                  <c:v>800000</c:v>
                </c:pt>
                <c:pt idx="9">
                  <c:v>900000</c:v>
                </c:pt>
                <c:pt idx="10">
                  <c:v>1000000</c:v>
                </c:pt>
              </c:numCache>
            </c:numRef>
          </c:xVal>
          <c:yVal>
            <c:numRef>
              <c:f>Sheet1!$Z$3:$AJ$3</c:f>
              <c:numCache>
                <c:formatCode>General</c:formatCode>
                <c:ptCount val="11"/>
                <c:pt idx="0">
                  <c:v>2.4442066939063025</c:v>
                </c:pt>
                <c:pt idx="1">
                  <c:v>30.552583673828781</c:v>
                </c:pt>
                <c:pt idx="2">
                  <c:v>64.784064999999998</c:v>
                </c:pt>
                <c:pt idx="3">
                  <c:v>100.40412325591713</c:v>
                </c:pt>
                <c:pt idx="4">
                  <c:v>136.92592530468488</c:v>
                </c:pt>
                <c:pt idx="5">
                  <c:v>174.11825791211658</c:v>
                </c:pt>
                <c:pt idx="6">
                  <c:v>211.84493946886158</c:v>
                </c:pt>
                <c:pt idx="7">
                  <c:v>250.01598572897547</c:v>
                </c:pt>
                <c:pt idx="8">
                  <c:v>288.56744121873953</c:v>
                </c:pt>
                <c:pt idx="9">
                  <c:v>327.45148647104384</c:v>
                </c:pt>
                <c:pt idx="10">
                  <c:v>366.63100408594545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DC-4D86-A25C-75C1C6795530}"/>
            </c:ext>
          </c:extLst>
        </c:ser>
        <c:ser>
          <c:idx val="1"/>
          <c:order val="1"/>
          <c:tx>
            <c:strRef>
              <c:f>Sheet1!$Y$4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Sheet1!$Z$2:$AJ$2</c:f>
              <c:numCache>
                <c:formatCode>General</c:formatCode>
                <c:ptCount val="11"/>
                <c:pt idx="0">
                  <c:v>10000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  <c:pt idx="6">
                  <c:v>600000</c:v>
                </c:pt>
                <c:pt idx="7">
                  <c:v>700000</c:v>
                </c:pt>
                <c:pt idx="8">
                  <c:v>800000</c:v>
                </c:pt>
                <c:pt idx="9">
                  <c:v>900000</c:v>
                </c:pt>
                <c:pt idx="10">
                  <c:v>1000000</c:v>
                </c:pt>
              </c:numCache>
            </c:numRef>
          </c:xVal>
          <c:yVal>
            <c:numRef>
              <c:f>Sheet1!$Z$4:$AJ$4</c:f>
              <c:numCache>
                <c:formatCode>General</c:formatCode>
                <c:ptCount val="11"/>
                <c:pt idx="0">
                  <c:v>2.7572505000000005</c:v>
                </c:pt>
                <c:pt idx="1">
                  <c:v>32.955959999999997</c:v>
                </c:pt>
                <c:pt idx="2">
                  <c:v>64.784064999999998</c:v>
                </c:pt>
                <c:pt idx="3">
                  <c:v>97.869060000000005</c:v>
                </c:pt>
                <c:pt idx="4">
                  <c:v>134.70439999999999</c:v>
                </c:pt>
                <c:pt idx="5">
                  <c:v>166.76579999999998</c:v>
                </c:pt>
                <c:pt idx="6">
                  <c:v>207.88034999999996</c:v>
                </c:pt>
                <c:pt idx="7">
                  <c:v>239.82435000000001</c:v>
                </c:pt>
                <c:pt idx="8">
                  <c:v>278.78429999999997</c:v>
                </c:pt>
                <c:pt idx="9">
                  <c:v>315.97254999999996</c:v>
                </c:pt>
                <c:pt idx="10">
                  <c:v>350.31820000000005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DC-4D86-A25C-75C1C6795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964288"/>
        <c:axId val="655989728"/>
      </c:scatterChart>
      <c:valAx>
        <c:axId val="65596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5989728"/>
        <c:crosses val="autoZero"/>
        <c:crossBetween val="midCat"/>
      </c:valAx>
      <c:valAx>
        <c:axId val="6559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596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快速排序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Sheet1!$AN$3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Sheet1!$AO$2:$AY$2</c:f>
              <c:numCache>
                <c:formatCode>General</c:formatCode>
                <c:ptCount val="11"/>
                <c:pt idx="0">
                  <c:v>10000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  <c:pt idx="6">
                  <c:v>600000</c:v>
                </c:pt>
                <c:pt idx="7">
                  <c:v>700000</c:v>
                </c:pt>
                <c:pt idx="8">
                  <c:v>800000</c:v>
                </c:pt>
                <c:pt idx="9">
                  <c:v>900000</c:v>
                </c:pt>
                <c:pt idx="10">
                  <c:v>1000000</c:v>
                </c:pt>
              </c:numCache>
            </c:numRef>
          </c:xVal>
          <c:yVal>
            <c:numRef>
              <c:f>Sheet1!$AO$3:$AY$3</c:f>
              <c:numCache>
                <c:formatCode>General</c:formatCode>
                <c:ptCount val="11"/>
                <c:pt idx="0">
                  <c:v>2.2151736567431302</c:v>
                </c:pt>
                <c:pt idx="1">
                  <c:v>27.689670709289128</c:v>
                </c:pt>
                <c:pt idx="2">
                  <c:v>58.713510000000007</c:v>
                </c:pt>
                <c:pt idx="3">
                  <c:v>90.995810386821574</c:v>
                </c:pt>
                <c:pt idx="4">
                  <c:v>124.09535716284351</c:v>
                </c:pt>
                <c:pt idx="5">
                  <c:v>157.80260280218039</c:v>
                </c:pt>
                <c:pt idx="6">
                  <c:v>191.99412651790837</c:v>
                </c:pt>
                <c:pt idx="7">
                  <c:v>226.58837598810848</c:v>
                </c:pt>
                <c:pt idx="8">
                  <c:v>261.527388651374</c:v>
                </c:pt>
                <c:pt idx="9">
                  <c:v>296.76782593732725</c:v>
                </c:pt>
                <c:pt idx="10">
                  <c:v>332.27604851146953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9E-4A0B-96DC-027BEA6D5DAD}"/>
            </c:ext>
          </c:extLst>
        </c:ser>
        <c:ser>
          <c:idx val="1"/>
          <c:order val="1"/>
          <c:tx>
            <c:strRef>
              <c:f>Sheet1!$AN$4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Sheet1!$AO$2:$AY$2</c:f>
              <c:numCache>
                <c:formatCode>General</c:formatCode>
                <c:ptCount val="11"/>
                <c:pt idx="0">
                  <c:v>10000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  <c:pt idx="6">
                  <c:v>600000</c:v>
                </c:pt>
                <c:pt idx="7">
                  <c:v>700000</c:v>
                </c:pt>
                <c:pt idx="8">
                  <c:v>800000</c:v>
                </c:pt>
                <c:pt idx="9">
                  <c:v>900000</c:v>
                </c:pt>
                <c:pt idx="10">
                  <c:v>1000000</c:v>
                </c:pt>
              </c:numCache>
            </c:numRef>
          </c:xVal>
          <c:yVal>
            <c:numRef>
              <c:f>Sheet1!$AO$4:$AY$4</c:f>
              <c:numCache>
                <c:formatCode>General</c:formatCode>
                <c:ptCount val="11"/>
                <c:pt idx="0">
                  <c:v>2.2727009999999996</c:v>
                </c:pt>
                <c:pt idx="1">
                  <c:v>26.591895000000001</c:v>
                </c:pt>
                <c:pt idx="2">
                  <c:v>58.713510000000007</c:v>
                </c:pt>
                <c:pt idx="3">
                  <c:v>83.925614999999965</c:v>
                </c:pt>
                <c:pt idx="4">
                  <c:v>116.82719999999999</c:v>
                </c:pt>
                <c:pt idx="5">
                  <c:v>143.37529999999998</c:v>
                </c:pt>
                <c:pt idx="6">
                  <c:v>183.03244999999998</c:v>
                </c:pt>
                <c:pt idx="7">
                  <c:v>211.06644999999997</c:v>
                </c:pt>
                <c:pt idx="8">
                  <c:v>245.39575000000005</c:v>
                </c:pt>
                <c:pt idx="9">
                  <c:v>272.08180000000004</c:v>
                </c:pt>
                <c:pt idx="10">
                  <c:v>336.97294999999997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9E-4A0B-96DC-027BEA6D5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432224"/>
        <c:axId val="2010747328"/>
      </c:scatterChart>
      <c:valAx>
        <c:axId val="484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0747328"/>
        <c:crosses val="autoZero"/>
        <c:crossBetween val="midCat"/>
      </c:valAx>
      <c:valAx>
        <c:axId val="20107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</a:t>
            </a:r>
            <a:r>
              <a:rPr lang="zh-CN" altLang="en-US"/>
              <a:t>种排序比较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选择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Sheet1!$AO$1:$AT$1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cat>
          <c:val>
            <c:numRef>
              <c:f>Sheet1!$B$4:$G$4</c:f>
              <c:numCache>
                <c:formatCode>General</c:formatCode>
                <c:ptCount val="6"/>
                <c:pt idx="0">
                  <c:v>239.31175000000002</c:v>
                </c:pt>
                <c:pt idx="1">
                  <c:v>21664.304999999997</c:v>
                </c:pt>
                <c:pt idx="2">
                  <c:v>89427.274999999994</c:v>
                </c:pt>
                <c:pt idx="3">
                  <c:v>188835.20000000001</c:v>
                </c:pt>
                <c:pt idx="4">
                  <c:v>332249.7</c:v>
                </c:pt>
                <c:pt idx="5">
                  <c:v>507925.6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0-46EA-9754-FC0DEDB4D3D3}"/>
            </c:ext>
          </c:extLst>
        </c:ser>
        <c:ser>
          <c:idx val="1"/>
          <c:order val="1"/>
          <c:tx>
            <c:v>冒泡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Sheet1!$AO$1:$AT$1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cat>
          <c:val>
            <c:numRef>
              <c:f>Sheet1!$J$4:$O$4</c:f>
              <c:numCache>
                <c:formatCode>General</c:formatCode>
                <c:ptCount val="6"/>
                <c:pt idx="0">
                  <c:v>491.7408999999999</c:v>
                </c:pt>
                <c:pt idx="1">
                  <c:v>65478.24500000001</c:v>
                </c:pt>
                <c:pt idx="2">
                  <c:v>259439.3</c:v>
                </c:pt>
                <c:pt idx="3">
                  <c:v>566834.85</c:v>
                </c:pt>
                <c:pt idx="4">
                  <c:v>1026887.2</c:v>
                </c:pt>
                <c:pt idx="5">
                  <c:v>1531170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0-46EA-9754-FC0DEDB4D3D3}"/>
            </c:ext>
          </c:extLst>
        </c:ser>
        <c:ser>
          <c:idx val="2"/>
          <c:order val="2"/>
          <c:tx>
            <c:v>插入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Sheet1!$AO$1:$AT$1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cat>
          <c:val>
            <c:numRef>
              <c:f>Sheet1!$R$4:$W$4</c:f>
              <c:numCache>
                <c:formatCode>General</c:formatCode>
                <c:ptCount val="6"/>
                <c:pt idx="0">
                  <c:v>157.44120000000001</c:v>
                </c:pt>
                <c:pt idx="1">
                  <c:v>15129.904999999995</c:v>
                </c:pt>
                <c:pt idx="2">
                  <c:v>65136.764999999999</c:v>
                </c:pt>
                <c:pt idx="3">
                  <c:v>137190.54999999999</c:v>
                </c:pt>
                <c:pt idx="4">
                  <c:v>239885</c:v>
                </c:pt>
                <c:pt idx="5">
                  <c:v>370616.4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20-46EA-9754-FC0DEDB4D3D3}"/>
            </c:ext>
          </c:extLst>
        </c:ser>
        <c:ser>
          <c:idx val="3"/>
          <c:order val="3"/>
          <c:tx>
            <c:v>归并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Sheet1!$AO$1:$AT$1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cat>
          <c:val>
            <c:numRef>
              <c:f>Sheet1!$Z$4:$AE$4</c:f>
              <c:numCache>
                <c:formatCode>General</c:formatCode>
                <c:ptCount val="6"/>
                <c:pt idx="0">
                  <c:v>2.7572505000000005</c:v>
                </c:pt>
                <c:pt idx="1">
                  <c:v>32.955959999999997</c:v>
                </c:pt>
                <c:pt idx="2">
                  <c:v>64.784064999999998</c:v>
                </c:pt>
                <c:pt idx="3">
                  <c:v>97.869060000000005</c:v>
                </c:pt>
                <c:pt idx="4">
                  <c:v>134.70439999999999</c:v>
                </c:pt>
                <c:pt idx="5">
                  <c:v>166.76579999999998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20-46EA-9754-FC0DEDB4D3D3}"/>
            </c:ext>
          </c:extLst>
        </c:ser>
        <c:ser>
          <c:idx val="4"/>
          <c:order val="4"/>
          <c:tx>
            <c:v>快速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Sheet1!$AO$1:$AT$1</c:f>
              <c:strCache>
                <c:ptCount val="6"/>
                <c:pt idx="0">
                  <c:v>1w</c:v>
                </c:pt>
                <c:pt idx="1">
                  <c:v>10w</c:v>
                </c:pt>
                <c:pt idx="2">
                  <c:v>20w</c:v>
                </c:pt>
                <c:pt idx="3">
                  <c:v>30w</c:v>
                </c:pt>
                <c:pt idx="4">
                  <c:v>40w</c:v>
                </c:pt>
                <c:pt idx="5">
                  <c:v>50w</c:v>
                </c:pt>
              </c:strCache>
            </c:strRef>
          </c:cat>
          <c:val>
            <c:numRef>
              <c:f>Sheet1!$AO$4:$AT$4</c:f>
              <c:numCache>
                <c:formatCode>General</c:formatCode>
                <c:ptCount val="6"/>
                <c:pt idx="0">
                  <c:v>2.2727009999999996</c:v>
                </c:pt>
                <c:pt idx="1">
                  <c:v>26.591895000000001</c:v>
                </c:pt>
                <c:pt idx="2">
                  <c:v>58.713510000000007</c:v>
                </c:pt>
                <c:pt idx="3">
                  <c:v>83.925614999999965</c:v>
                </c:pt>
                <c:pt idx="4">
                  <c:v>116.82719999999999</c:v>
                </c:pt>
                <c:pt idx="5">
                  <c:v>143.37529999999998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20-46EA-9754-FC0DEDB4D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972928"/>
        <c:axId val="655990688"/>
      </c:lineChart>
      <c:catAx>
        <c:axId val="6559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5990688"/>
        <c:crosses val="autoZero"/>
        <c:auto val="1"/>
        <c:lblAlgn val="ctr"/>
        <c:lblOffset val="100"/>
        <c:noMultiLvlLbl val="0"/>
      </c:catAx>
      <c:valAx>
        <c:axId val="6559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597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归并与快速比较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归并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Sheet1!$Z$2:$AJ$2</c:f>
              <c:numCache>
                <c:formatCode>General</c:formatCode>
                <c:ptCount val="11"/>
                <c:pt idx="0">
                  <c:v>10000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  <c:pt idx="6">
                  <c:v>600000</c:v>
                </c:pt>
                <c:pt idx="7">
                  <c:v>700000</c:v>
                </c:pt>
                <c:pt idx="8">
                  <c:v>800000</c:v>
                </c:pt>
                <c:pt idx="9">
                  <c:v>900000</c:v>
                </c:pt>
                <c:pt idx="10">
                  <c:v>1000000</c:v>
                </c:pt>
              </c:numCache>
            </c:numRef>
          </c:xVal>
          <c:yVal>
            <c:numRef>
              <c:f>Sheet1!$Z$4:$AJ$4</c:f>
              <c:numCache>
                <c:formatCode>General</c:formatCode>
                <c:ptCount val="11"/>
                <c:pt idx="0">
                  <c:v>2.7572505000000005</c:v>
                </c:pt>
                <c:pt idx="1">
                  <c:v>32.955959999999997</c:v>
                </c:pt>
                <c:pt idx="2">
                  <c:v>64.784064999999998</c:v>
                </c:pt>
                <c:pt idx="3">
                  <c:v>97.869060000000005</c:v>
                </c:pt>
                <c:pt idx="4">
                  <c:v>134.70439999999999</c:v>
                </c:pt>
                <c:pt idx="5">
                  <c:v>166.76579999999998</c:v>
                </c:pt>
                <c:pt idx="6">
                  <c:v>207.88034999999996</c:v>
                </c:pt>
                <c:pt idx="7">
                  <c:v>239.82435000000001</c:v>
                </c:pt>
                <c:pt idx="8">
                  <c:v>278.78429999999997</c:v>
                </c:pt>
                <c:pt idx="9">
                  <c:v>315.97254999999996</c:v>
                </c:pt>
                <c:pt idx="10">
                  <c:v>350.31820000000005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9A-4837-86FB-6848B6521BA0}"/>
            </c:ext>
          </c:extLst>
        </c:ser>
        <c:ser>
          <c:idx val="1"/>
          <c:order val="1"/>
          <c:tx>
            <c:v>快速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Sheet1!$AO$2:$AY$2</c:f>
              <c:numCache>
                <c:formatCode>General</c:formatCode>
                <c:ptCount val="11"/>
                <c:pt idx="0">
                  <c:v>10000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  <c:pt idx="6">
                  <c:v>600000</c:v>
                </c:pt>
                <c:pt idx="7">
                  <c:v>700000</c:v>
                </c:pt>
                <c:pt idx="8">
                  <c:v>800000</c:v>
                </c:pt>
                <c:pt idx="9">
                  <c:v>900000</c:v>
                </c:pt>
                <c:pt idx="10">
                  <c:v>1000000</c:v>
                </c:pt>
              </c:numCache>
            </c:numRef>
          </c:xVal>
          <c:yVal>
            <c:numRef>
              <c:f>Sheet1!$AO$4:$AY$4</c:f>
              <c:numCache>
                <c:formatCode>General</c:formatCode>
                <c:ptCount val="11"/>
                <c:pt idx="0">
                  <c:v>2.2727009999999996</c:v>
                </c:pt>
                <c:pt idx="1">
                  <c:v>26.591895000000001</c:v>
                </c:pt>
                <c:pt idx="2">
                  <c:v>58.713510000000007</c:v>
                </c:pt>
                <c:pt idx="3">
                  <c:v>83.925614999999965</c:v>
                </c:pt>
                <c:pt idx="4">
                  <c:v>116.82719999999999</c:v>
                </c:pt>
                <c:pt idx="5">
                  <c:v>143.37529999999998</c:v>
                </c:pt>
                <c:pt idx="6">
                  <c:v>183.03244999999998</c:v>
                </c:pt>
                <c:pt idx="7">
                  <c:v>211.06644999999997</c:v>
                </c:pt>
                <c:pt idx="8">
                  <c:v>245.39575000000005</c:v>
                </c:pt>
                <c:pt idx="9">
                  <c:v>272.08180000000004</c:v>
                </c:pt>
                <c:pt idx="10">
                  <c:v>336.97294999999997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9A-4837-86FB-6848B6521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590176"/>
        <c:axId val="605586336"/>
      </c:scatterChart>
      <c:valAx>
        <c:axId val="60559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586336"/>
        <c:crosses val="autoZero"/>
        <c:crossBetween val="midCat"/>
      </c:valAx>
      <c:valAx>
        <c:axId val="60558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590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102394</xdr:colOff>
      <xdr:row>5</xdr:row>
      <xdr:rowOff>121443</xdr:rowOff>
    </xdr:from>
    <xdr:to>
      <xdr:col>7</xdr:col>
      <xdr:colOff>216694</xdr:colOff>
      <xdr:row>21</xdr:row>
      <xdr:rowOff>45243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45414FA-4174-D6D8-AA39-30940DE68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130969</xdr:colOff>
      <xdr:row>5</xdr:row>
      <xdr:rowOff>78581</xdr:rowOff>
    </xdr:from>
    <xdr:to>
      <xdr:col>15</xdr:col>
      <xdr:colOff>169069</xdr:colOff>
      <xdr:row>21</xdr:row>
      <xdr:rowOff>2381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5BF0804-6BC1-FADD-E10A-17D41F00D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607218</xdr:colOff>
      <xdr:row>5</xdr:row>
      <xdr:rowOff>64293</xdr:rowOff>
    </xdr:from>
    <xdr:to>
      <xdr:col>22</xdr:col>
      <xdr:colOff>645318</xdr:colOff>
      <xdr:row>20</xdr:row>
      <xdr:rowOff>164306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297A602-72F6-9FE1-F1F8-BE4255AFE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21431</xdr:colOff>
      <xdr:row>4</xdr:row>
      <xdr:rowOff>7143</xdr:rowOff>
    </xdr:from>
    <xdr:to>
      <xdr:col>37</xdr:col>
      <xdr:colOff>638175</xdr:colOff>
      <xdr:row>23</xdr:row>
      <xdr:rowOff>109536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85A1F84-5D3E-08EE-82E5-C4A5C9603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21429</xdr:colOff>
      <xdr:row>4</xdr:row>
      <xdr:rowOff>21430</xdr:rowOff>
    </xdr:from>
    <xdr:to>
      <xdr:col>52</xdr:col>
      <xdr:colOff>633412</xdr:colOff>
      <xdr:row>23</xdr:row>
      <xdr:rowOff>171449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DFDFA6DF-2FE6-496C-7FF7-826DD8CE2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307180</xdr:colOff>
      <xdr:row>1</xdr:row>
      <xdr:rowOff>16667</xdr:rowOff>
    </xdr:from>
    <xdr:to>
      <xdr:col>61</xdr:col>
      <xdr:colOff>345280</xdr:colOff>
      <xdr:row>16</xdr:row>
      <xdr:rowOff>116680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E845A95-2594-3302-3144-3B293C456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61</xdr:col>
      <xdr:colOff>476250</xdr:colOff>
      <xdr:row>1</xdr:row>
      <xdr:rowOff>4760</xdr:rowOff>
    </xdr:from>
    <xdr:to>
      <xdr:col>70</xdr:col>
      <xdr:colOff>23813</xdr:colOff>
      <xdr:row>16</xdr:row>
      <xdr:rowOff>119062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16ED1642-F997-0E05-E69D-926EECA9E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87"/>
  <sheetViews>
    <sheetView tabSelected="1" topLeftCell="AK1" zoomScaleNormal="100" workbookViewId="0">
      <selection activeCell="BC5" sqref="BC5"/>
    </sheetView>
  </sheetViews>
  <sheetFormatPr defaultRowHeight="13.9" x14ac:dyDescent="0.4"/>
  <cols>
    <col min="1" max="1" width="8.796875" style="4" bestFit="1" customWidth="1"/>
    <col min="2" max="3" width="8.796875" style="4" customWidth="1"/>
    <col min="4" max="4" width="8.796875" style="4" bestFit="1" customWidth="1"/>
    <col min="5" max="29" width="9.06640625" style="4"/>
    <col min="30" max="30" width="9.06640625" style="4" bestFit="1" customWidth="1"/>
    <col min="31" max="45" width="9.06640625" style="4"/>
    <col min="46" max="46" width="9.06640625" style="5"/>
    <col min="47" max="50" width="9.06640625" style="4"/>
    <col min="51" max="51" width="9.06640625" style="5"/>
    <col min="52" max="55" width="9.06640625" style="4"/>
    <col min="56" max="56" width="9.06640625" style="5"/>
    <col min="57" max="60" width="9.06640625" style="4"/>
    <col min="61" max="61" width="9.06640625" style="5"/>
    <col min="62" max="65" width="9.06640625" style="4"/>
    <col min="66" max="66" width="9.06640625" style="5"/>
    <col min="67" max="16384" width="9.06640625" style="4"/>
  </cols>
  <sheetData>
    <row r="1" spans="1:66" x14ac:dyDescent="0.4">
      <c r="A1" s="4" t="s">
        <v>0</v>
      </c>
      <c r="I1" s="4" t="s">
        <v>8</v>
      </c>
      <c r="Q1" s="4" t="s">
        <v>9</v>
      </c>
      <c r="Y1" s="4" t="s">
        <v>10</v>
      </c>
      <c r="Z1" s="4" t="s">
        <v>213</v>
      </c>
      <c r="AA1" s="4" t="s">
        <v>1</v>
      </c>
      <c r="AB1" s="4" t="s">
        <v>2</v>
      </c>
      <c r="AC1" s="4" t="s">
        <v>3</v>
      </c>
      <c r="AD1" s="4" t="s">
        <v>4</v>
      </c>
      <c r="AE1" s="4" t="s">
        <v>5</v>
      </c>
      <c r="AF1" s="4" t="s">
        <v>491</v>
      </c>
      <c r="AG1" s="4" t="s">
        <v>492</v>
      </c>
      <c r="AH1" s="4" t="s">
        <v>493</v>
      </c>
      <c r="AI1" s="4" t="s">
        <v>494</v>
      </c>
      <c r="AJ1" s="4" t="s">
        <v>495</v>
      </c>
      <c r="AK1" s="4" t="s">
        <v>822</v>
      </c>
      <c r="AL1" s="4" t="s">
        <v>823</v>
      </c>
      <c r="AN1" s="4" t="s">
        <v>11</v>
      </c>
      <c r="AO1" s="4" t="s">
        <v>213</v>
      </c>
      <c r="AP1" s="4" t="s">
        <v>1</v>
      </c>
      <c r="AQ1" s="4" t="s">
        <v>2</v>
      </c>
      <c r="AR1" s="4" t="s">
        <v>3</v>
      </c>
      <c r="AS1" s="4" t="s">
        <v>4</v>
      </c>
      <c r="AT1" s="5" t="s">
        <v>5</v>
      </c>
      <c r="AU1" s="4" t="s">
        <v>491</v>
      </c>
      <c r="AV1" s="4" t="s">
        <v>492</v>
      </c>
      <c r="AW1" s="4" t="s">
        <v>493</v>
      </c>
      <c r="AX1" s="4" t="s">
        <v>494</v>
      </c>
      <c r="AY1" s="5" t="s">
        <v>495</v>
      </c>
      <c r="AZ1" s="4" t="s">
        <v>822</v>
      </c>
      <c r="BA1" s="4" t="s">
        <v>823</v>
      </c>
    </row>
    <row r="2" spans="1:66" x14ac:dyDescent="0.4">
      <c r="A2" s="4" t="s">
        <v>831</v>
      </c>
      <c r="B2" s="4" t="s">
        <v>213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I2" s="4" t="s">
        <v>831</v>
      </c>
      <c r="J2" s="4" t="s">
        <v>213</v>
      </c>
      <c r="K2" s="4" t="s">
        <v>1</v>
      </c>
      <c r="L2" s="4" t="s">
        <v>2</v>
      </c>
      <c r="M2" s="4" t="s">
        <v>3</v>
      </c>
      <c r="N2" s="4" t="s">
        <v>4</v>
      </c>
      <c r="O2" s="4" t="s">
        <v>5</v>
      </c>
      <c r="Q2" s="4" t="s">
        <v>831</v>
      </c>
      <c r="R2" s="4" t="s">
        <v>213</v>
      </c>
      <c r="S2" s="4" t="s">
        <v>1</v>
      </c>
      <c r="T2" s="4" t="s">
        <v>2</v>
      </c>
      <c r="U2" s="4" t="s">
        <v>3</v>
      </c>
      <c r="V2" s="4" t="s">
        <v>4</v>
      </c>
      <c r="W2" s="4" t="s">
        <v>5</v>
      </c>
      <c r="Y2" s="4" t="s">
        <v>831</v>
      </c>
      <c r="Z2" s="4">
        <v>10000</v>
      </c>
      <c r="AA2" s="4">
        <v>100000</v>
      </c>
      <c r="AB2" s="4">
        <v>200000</v>
      </c>
      <c r="AC2" s="4">
        <v>300000</v>
      </c>
      <c r="AD2" s="4">
        <v>400000</v>
      </c>
      <c r="AE2" s="4">
        <v>500000</v>
      </c>
      <c r="AF2" s="4">
        <v>600000</v>
      </c>
      <c r="AG2" s="4">
        <v>700000</v>
      </c>
      <c r="AH2" s="4">
        <v>800000</v>
      </c>
      <c r="AI2" s="4">
        <v>900000</v>
      </c>
      <c r="AJ2" s="4">
        <v>1000000</v>
      </c>
      <c r="AK2" s="4">
        <v>5000000</v>
      </c>
      <c r="AL2" s="4">
        <v>10000000</v>
      </c>
      <c r="AN2" s="4" t="s">
        <v>831</v>
      </c>
      <c r="AO2" s="4">
        <v>10000</v>
      </c>
      <c r="AP2" s="4">
        <v>100000</v>
      </c>
      <c r="AQ2" s="4">
        <v>200000</v>
      </c>
      <c r="AR2" s="4">
        <v>300000</v>
      </c>
      <c r="AS2" s="4">
        <v>400000</v>
      </c>
      <c r="AT2" s="4">
        <v>500000</v>
      </c>
      <c r="AU2" s="4">
        <v>600000</v>
      </c>
      <c r="AV2" s="4">
        <v>700000</v>
      </c>
      <c r="AW2" s="4">
        <v>800000</v>
      </c>
      <c r="AX2" s="4">
        <v>900000</v>
      </c>
      <c r="AY2" s="4">
        <v>1000000</v>
      </c>
      <c r="AZ2" s="4">
        <v>5000000</v>
      </c>
      <c r="BA2" s="4">
        <v>10000000</v>
      </c>
    </row>
    <row r="3" spans="1:66" x14ac:dyDescent="0.4">
      <c r="A3" s="4" t="s">
        <v>7</v>
      </c>
      <c r="B3" s="4">
        <f>D3/400</f>
        <v>223.56818749999999</v>
      </c>
      <c r="C3" s="4">
        <f>D3/4</f>
        <v>22356.818749999999</v>
      </c>
      <c r="D3" s="4">
        <f>D4</f>
        <v>89427.274999999994</v>
      </c>
      <c r="E3" s="4">
        <f>D3*9/4</f>
        <v>201211.36874999999</v>
      </c>
      <c r="F3" s="4">
        <f>D3*4</f>
        <v>357709.1</v>
      </c>
      <c r="G3" s="4">
        <f>D3*25/4</f>
        <v>558920.46875</v>
      </c>
      <c r="I3" s="4" t="s">
        <v>7</v>
      </c>
      <c r="J3" s="4">
        <f>L3/400</f>
        <v>648.59825000000001</v>
      </c>
      <c r="K3" s="4">
        <f>L3/4</f>
        <v>64859.824999999997</v>
      </c>
      <c r="L3" s="4">
        <f>L4</f>
        <v>259439.3</v>
      </c>
      <c r="M3" s="4">
        <f>L3*9/4</f>
        <v>583738.42499999993</v>
      </c>
      <c r="N3" s="4">
        <f>L3*4</f>
        <v>1037757.2</v>
      </c>
      <c r="O3" s="4">
        <f>L3*25/4</f>
        <v>1621495.625</v>
      </c>
      <c r="Q3" s="4" t="s">
        <v>7</v>
      </c>
      <c r="R3" s="4">
        <f>T3/400</f>
        <v>162.84191250000001</v>
      </c>
      <c r="S3" s="4">
        <f>T3/4</f>
        <v>16284.19125</v>
      </c>
      <c r="T3" s="4">
        <f>T4</f>
        <v>65136.764999999999</v>
      </c>
      <c r="U3" s="4">
        <f>T3*9/4</f>
        <v>146557.72125</v>
      </c>
      <c r="V3" s="4">
        <f>T3*4</f>
        <v>260547.06</v>
      </c>
      <c r="W3" s="4">
        <f>T3*25/4</f>
        <v>407104.78125</v>
      </c>
      <c r="Y3" s="4" t="s">
        <v>7</v>
      </c>
      <c r="Z3" s="4">
        <f>LN(Z2)/LN(AA2)*Z2/AA2*AA3</f>
        <v>2.4442066939063025</v>
      </c>
      <c r="AA3" s="4">
        <f>LN(AA2)/LN(AB2)*AA2/AB2*AB3</f>
        <v>30.552583673828781</v>
      </c>
      <c r="AB3" s="4">
        <f>AB4</f>
        <v>64.784064999999998</v>
      </c>
      <c r="AC3" s="4">
        <f>LN(AC2)/LN(AB2)*AC2/AB2*AB3</f>
        <v>100.40412325591713</v>
      </c>
      <c r="AD3" s="4">
        <f t="shared" ref="AD3" si="0">LN(AD2)/LN(AC2)*AD2/AC2*AC3</f>
        <v>136.92592530468488</v>
      </c>
      <c r="AE3" s="4">
        <f t="shared" ref="AE3" si="1">LN(AE2)/LN(AD2)*AE2/AD2*AD3</f>
        <v>174.11825791211658</v>
      </c>
      <c r="AF3" s="4">
        <f t="shared" ref="AF3" si="2">LN(AF2)/LN(AE2)*AF2/AE2*AE3</f>
        <v>211.84493946886158</v>
      </c>
      <c r="AG3" s="4">
        <f t="shared" ref="AG3" si="3">LN(AG2)/LN(AF2)*AG2/AF2*AF3</f>
        <v>250.01598572897547</v>
      </c>
      <c r="AH3" s="4">
        <f t="shared" ref="AH3" si="4">LN(AH2)/LN(AG2)*AH2/AG2*AG3</f>
        <v>288.56744121873953</v>
      </c>
      <c r="AI3" s="4">
        <f t="shared" ref="AI3" si="5">LN(AI2)/LN(AH2)*AI2/AH2*AH3</f>
        <v>327.45148647104384</v>
      </c>
      <c r="AJ3" s="4">
        <f>LN(AJ2)/LN(AI2)*AJ2/AI2*AI3</f>
        <v>366.63100408594545</v>
      </c>
      <c r="AK3" s="4">
        <f t="shared" ref="AK3" si="6">LN(AK2)/LN(AJ2)*AK2/AJ2*AJ3</f>
        <v>2046.7084158594546</v>
      </c>
      <c r="AL3" s="4">
        <f t="shared" ref="AL3" si="7">LN(AL2)/LN(AK2)*AL2/AK2*AK3</f>
        <v>4277.3617143360307</v>
      </c>
      <c r="AN3" s="4" t="s">
        <v>7</v>
      </c>
      <c r="AO3" s="4">
        <f>LN(AO2)/LN(AP2)*AO2/AP2*AP3</f>
        <v>2.2151736567431302</v>
      </c>
      <c r="AP3" s="4">
        <f>LN(AP2)/LN(AQ2)*AP2/AQ2*AQ3</f>
        <v>27.689670709289128</v>
      </c>
      <c r="AQ3" s="4">
        <f>AQ4</f>
        <v>58.713510000000007</v>
      </c>
      <c r="AR3" s="4">
        <f>LN(AR2)/LN(AQ2)*AR2/AQ2*AQ3</f>
        <v>90.995810386821574</v>
      </c>
      <c r="AS3" s="4">
        <f t="shared" ref="AS3:AX3" si="8">LN(AS2)/LN(AR2)*AS2/AR2*AR3</f>
        <v>124.09535716284351</v>
      </c>
      <c r="AT3" s="4">
        <f t="shared" si="8"/>
        <v>157.80260280218039</v>
      </c>
      <c r="AU3" s="4">
        <f t="shared" si="8"/>
        <v>191.99412651790837</v>
      </c>
      <c r="AV3" s="4">
        <f t="shared" si="8"/>
        <v>226.58837598810848</v>
      </c>
      <c r="AW3" s="4">
        <f t="shared" si="8"/>
        <v>261.527388651374</v>
      </c>
      <c r="AX3" s="4">
        <f t="shared" si="8"/>
        <v>296.76782593732725</v>
      </c>
      <c r="AY3" s="4">
        <f>LN(AY2)/LN(AX2)*AY2/AX2*AX3</f>
        <v>332.27604851146953</v>
      </c>
      <c r="AZ3" s="4">
        <f t="shared" ref="AZ3:BA3" si="9">LN(AZ2)/LN(AY2)*AZ2/AY2*AY3</f>
        <v>1854.9227351146956</v>
      </c>
      <c r="BA3" s="4">
        <f t="shared" si="9"/>
        <v>3876.5538993004784</v>
      </c>
    </row>
    <row r="4" spans="1:66" x14ac:dyDescent="0.4">
      <c r="A4" s="4" t="s">
        <v>6</v>
      </c>
      <c r="B4" s="4">
        <f>AVERAGE(B5:B24)</f>
        <v>239.31175000000002</v>
      </c>
      <c r="C4" s="4">
        <f t="shared" ref="C4:G4" si="10">AVERAGE(C5:C24)</f>
        <v>21664.304999999997</v>
      </c>
      <c r="D4" s="4">
        <f t="shared" si="10"/>
        <v>89427.274999999994</v>
      </c>
      <c r="E4" s="4">
        <f t="shared" si="10"/>
        <v>188835.20000000001</v>
      </c>
      <c r="F4" s="4">
        <f t="shared" si="10"/>
        <v>332249.7</v>
      </c>
      <c r="G4" s="4">
        <f t="shared" si="10"/>
        <v>507925.6</v>
      </c>
      <c r="I4" s="4" t="s">
        <v>6</v>
      </c>
      <c r="J4" s="4">
        <f>AVERAGE(J5:J24)</f>
        <v>491.7408999999999</v>
      </c>
      <c r="K4" s="4">
        <f t="shared" ref="K4:AL4" si="11">AVERAGE(K5:K24)</f>
        <v>65478.24500000001</v>
      </c>
      <c r="L4" s="4">
        <f t="shared" si="11"/>
        <v>259439.3</v>
      </c>
      <c r="M4" s="4">
        <f t="shared" si="11"/>
        <v>566834.85</v>
      </c>
      <c r="N4" s="4">
        <f t="shared" si="11"/>
        <v>1026887.2</v>
      </c>
      <c r="O4" s="4">
        <f t="shared" si="11"/>
        <v>1531170</v>
      </c>
      <c r="Q4" s="4" t="s">
        <v>6</v>
      </c>
      <c r="R4" s="4">
        <f t="shared" si="11"/>
        <v>157.44120000000001</v>
      </c>
      <c r="S4" s="4">
        <f t="shared" si="11"/>
        <v>15129.904999999995</v>
      </c>
      <c r="T4" s="4">
        <f t="shared" si="11"/>
        <v>65136.764999999999</v>
      </c>
      <c r="U4" s="4">
        <f t="shared" si="11"/>
        <v>137190.54999999999</v>
      </c>
      <c r="V4" s="4">
        <f t="shared" si="11"/>
        <v>239885</v>
      </c>
      <c r="W4" s="4">
        <f t="shared" si="11"/>
        <v>370616.4</v>
      </c>
      <c r="Y4" s="4" t="s">
        <v>6</v>
      </c>
      <c r="Z4" s="4">
        <f t="shared" si="11"/>
        <v>2.7572505000000005</v>
      </c>
      <c r="AA4" s="4">
        <f t="shared" si="11"/>
        <v>32.955959999999997</v>
      </c>
      <c r="AB4" s="4">
        <f t="shared" si="11"/>
        <v>64.784064999999998</v>
      </c>
      <c r="AC4" s="4">
        <f t="shared" si="11"/>
        <v>97.869060000000005</v>
      </c>
      <c r="AD4" s="4">
        <f t="shared" si="11"/>
        <v>134.70439999999999</v>
      </c>
      <c r="AE4" s="4">
        <f t="shared" si="11"/>
        <v>166.76579999999998</v>
      </c>
      <c r="AF4" s="4">
        <f t="shared" si="11"/>
        <v>207.88034999999996</v>
      </c>
      <c r="AG4" s="4">
        <f t="shared" si="11"/>
        <v>239.82435000000001</v>
      </c>
      <c r="AH4" s="4">
        <f t="shared" si="11"/>
        <v>278.78429999999997</v>
      </c>
      <c r="AI4" s="4">
        <f t="shared" si="11"/>
        <v>315.97254999999996</v>
      </c>
      <c r="AJ4" s="4">
        <f t="shared" si="11"/>
        <v>350.31820000000005</v>
      </c>
      <c r="AK4" s="4">
        <f t="shared" si="11"/>
        <v>1948.7175000000002</v>
      </c>
      <c r="AL4" s="4">
        <f t="shared" si="11"/>
        <v>4014.5065000000004</v>
      </c>
      <c r="AN4" s="4" t="s">
        <v>6</v>
      </c>
      <c r="AO4" s="4">
        <f t="shared" ref="AO4:BA4" si="12">AVERAGE(AO5:AO24)</f>
        <v>2.2727009999999996</v>
      </c>
      <c r="AP4" s="4">
        <f t="shared" si="12"/>
        <v>26.591895000000001</v>
      </c>
      <c r="AQ4" s="4">
        <f t="shared" si="12"/>
        <v>58.713510000000007</v>
      </c>
      <c r="AR4" s="4">
        <f t="shared" si="12"/>
        <v>83.925614999999965</v>
      </c>
      <c r="AS4" s="4">
        <f t="shared" si="12"/>
        <v>116.82719999999999</v>
      </c>
      <c r="AT4" s="5">
        <f>AVERAGE(AT5:AT24)</f>
        <v>143.37529999999998</v>
      </c>
      <c r="AU4" s="4">
        <f t="shared" si="12"/>
        <v>183.03244999999998</v>
      </c>
      <c r="AV4" s="4">
        <f t="shared" si="12"/>
        <v>211.06644999999997</v>
      </c>
      <c r="AW4" s="4">
        <f t="shared" si="12"/>
        <v>245.39575000000005</v>
      </c>
      <c r="AX4" s="4">
        <f t="shared" si="12"/>
        <v>272.08180000000004</v>
      </c>
      <c r="AY4" s="5">
        <f t="shared" si="12"/>
        <v>336.97294999999997</v>
      </c>
      <c r="AZ4" s="4">
        <f t="shared" si="12"/>
        <v>1858.8759999999997</v>
      </c>
      <c r="BA4" s="4">
        <f t="shared" si="12"/>
        <v>3563.0165000000002</v>
      </c>
    </row>
    <row r="5" spans="1:66" s="6" customFormat="1" x14ac:dyDescent="0.4">
      <c r="A5" s="2">
        <v>1</v>
      </c>
      <c r="B5" s="3">
        <v>251.42</v>
      </c>
      <c r="C5" s="3">
        <v>21600.3</v>
      </c>
      <c r="D5" s="3">
        <v>94892.4</v>
      </c>
      <c r="E5" s="1">
        <v>188075</v>
      </c>
      <c r="F5" s="1">
        <v>378464</v>
      </c>
      <c r="G5" s="1">
        <v>481701</v>
      </c>
      <c r="I5" s="2">
        <v>1</v>
      </c>
      <c r="J5" s="3">
        <v>501.54399999999998</v>
      </c>
      <c r="K5" s="3">
        <v>65473.5</v>
      </c>
      <c r="L5" s="3">
        <v>271886</v>
      </c>
      <c r="M5" s="1">
        <v>574159</v>
      </c>
      <c r="N5" s="1">
        <v>1104140</v>
      </c>
      <c r="O5" s="1">
        <v>1517410</v>
      </c>
      <c r="Q5" s="2">
        <v>1</v>
      </c>
      <c r="R5" s="3">
        <v>158.12</v>
      </c>
      <c r="S5" s="3">
        <v>15001.3</v>
      </c>
      <c r="T5" s="3">
        <v>68694.600000000006</v>
      </c>
      <c r="U5" s="1">
        <v>135757</v>
      </c>
      <c r="V5" s="1">
        <v>278939</v>
      </c>
      <c r="W5" s="1">
        <v>355462</v>
      </c>
      <c r="Y5" s="2">
        <v>1</v>
      </c>
      <c r="Z5" s="3">
        <v>2.44808</v>
      </c>
      <c r="AA5" s="3">
        <v>29.280899999999999</v>
      </c>
      <c r="AB5" s="3">
        <v>70.690899999999999</v>
      </c>
      <c r="AC5" s="1">
        <v>101.92400000000001</v>
      </c>
      <c r="AD5" s="1">
        <v>142.756</v>
      </c>
      <c r="AE5" s="1">
        <v>165.57499999999999</v>
      </c>
      <c r="AF5" s="1">
        <v>208.364</v>
      </c>
      <c r="AG5" s="1">
        <v>246.376</v>
      </c>
      <c r="AH5" s="1">
        <v>277.39499999999998</v>
      </c>
      <c r="AI5" s="1">
        <v>308.08999999999997</v>
      </c>
      <c r="AJ5" s="1">
        <v>353.19</v>
      </c>
      <c r="AK5" s="1">
        <v>1907.89</v>
      </c>
      <c r="AL5" s="1">
        <v>3976.67</v>
      </c>
      <c r="AN5" s="2">
        <v>1</v>
      </c>
      <c r="AO5" s="3">
        <v>1.9509799999999999</v>
      </c>
      <c r="AP5" s="3">
        <v>24.475100000000001</v>
      </c>
      <c r="AQ5" s="3">
        <v>57.469799999999999</v>
      </c>
      <c r="AR5" s="1">
        <v>82.700999999999993</v>
      </c>
      <c r="AS5" s="1">
        <v>139.74100000000001</v>
      </c>
      <c r="AT5" s="1">
        <v>141.42500000000001</v>
      </c>
      <c r="AU5" s="1">
        <v>176.577</v>
      </c>
      <c r="AV5" s="1">
        <v>205.946</v>
      </c>
      <c r="AW5" s="1">
        <v>268.83100000000002</v>
      </c>
      <c r="AX5" s="1">
        <v>266.03199999999998</v>
      </c>
      <c r="AY5" s="1">
        <v>367.17200000000003</v>
      </c>
      <c r="AZ5" s="1">
        <v>1795.1</v>
      </c>
      <c r="BA5" s="1">
        <v>3545.81</v>
      </c>
      <c r="BD5" s="5"/>
      <c r="BI5" s="5"/>
      <c r="BN5" s="5"/>
    </row>
    <row r="6" spans="1:66" s="6" customFormat="1" x14ac:dyDescent="0.4">
      <c r="A6" s="2">
        <v>2</v>
      </c>
      <c r="B6" s="3">
        <v>246.63200000000001</v>
      </c>
      <c r="C6" s="3">
        <v>21507.9</v>
      </c>
      <c r="D6" s="3">
        <v>94096</v>
      </c>
      <c r="E6" s="1">
        <v>187881</v>
      </c>
      <c r="F6" s="1">
        <v>378565</v>
      </c>
      <c r="G6" s="1">
        <v>481032</v>
      </c>
      <c r="I6" s="2">
        <v>2</v>
      </c>
      <c r="J6" s="3">
        <v>498.31099999999998</v>
      </c>
      <c r="K6" s="3">
        <v>65675.399999999994</v>
      </c>
      <c r="L6" s="3">
        <v>272023</v>
      </c>
      <c r="M6" s="1">
        <v>576703</v>
      </c>
      <c r="N6" s="1">
        <v>1098790</v>
      </c>
      <c r="O6" s="1">
        <v>1518280</v>
      </c>
      <c r="Q6" s="2">
        <v>2</v>
      </c>
      <c r="R6" s="3">
        <v>153.578</v>
      </c>
      <c r="S6" s="3">
        <v>15324.5</v>
      </c>
      <c r="T6" s="3">
        <v>68520.2</v>
      </c>
      <c r="U6" s="1">
        <v>136942</v>
      </c>
      <c r="V6" s="1">
        <v>275013</v>
      </c>
      <c r="W6" s="1">
        <v>354767</v>
      </c>
      <c r="Y6" s="2">
        <v>2</v>
      </c>
      <c r="Z6" s="3">
        <v>2.4831300000000001</v>
      </c>
      <c r="AA6" s="3">
        <v>37.220999999999997</v>
      </c>
      <c r="AB6" s="3">
        <v>61.665100000000002</v>
      </c>
      <c r="AC6" s="1">
        <v>98.52</v>
      </c>
      <c r="AD6" s="1">
        <v>142.75399999999999</v>
      </c>
      <c r="AE6" s="1">
        <v>165.178</v>
      </c>
      <c r="AF6" s="1">
        <v>203.29300000000001</v>
      </c>
      <c r="AG6" s="1">
        <v>238.404</v>
      </c>
      <c r="AH6" s="1">
        <v>296.90600000000001</v>
      </c>
      <c r="AI6" s="1">
        <v>307.887</v>
      </c>
      <c r="AJ6" s="1">
        <v>347.55</v>
      </c>
      <c r="AK6" s="1">
        <v>1943.98</v>
      </c>
      <c r="AL6" s="1">
        <v>3972.78</v>
      </c>
      <c r="AN6" s="2">
        <v>2</v>
      </c>
      <c r="AO6" s="3">
        <v>2.06304</v>
      </c>
      <c r="AP6" s="3">
        <v>25.1889</v>
      </c>
      <c r="AQ6" s="3">
        <v>61.372999999999998</v>
      </c>
      <c r="AR6" s="1">
        <v>82.093000000000004</v>
      </c>
      <c r="AS6" s="1">
        <v>125.748</v>
      </c>
      <c r="AT6" s="1">
        <v>135.017</v>
      </c>
      <c r="AU6" s="1">
        <v>188.12899999999999</v>
      </c>
      <c r="AV6" s="1">
        <v>205.74799999999999</v>
      </c>
      <c r="AW6" s="1">
        <v>243.87</v>
      </c>
      <c r="AX6" s="1">
        <v>272.47300000000001</v>
      </c>
      <c r="AY6" s="1">
        <v>333.49599999999998</v>
      </c>
      <c r="AZ6" s="1">
        <v>1864.14</v>
      </c>
      <c r="BA6" s="1">
        <v>3547.66</v>
      </c>
      <c r="BD6" s="5"/>
      <c r="BI6" s="5"/>
      <c r="BN6" s="5"/>
    </row>
    <row r="7" spans="1:66" s="6" customFormat="1" x14ac:dyDescent="0.4">
      <c r="A7" s="2">
        <v>3</v>
      </c>
      <c r="B7" s="3">
        <v>248.625</v>
      </c>
      <c r="C7" s="3">
        <v>21755.4</v>
      </c>
      <c r="D7" s="3">
        <v>93982.3</v>
      </c>
      <c r="E7" s="1">
        <v>188499</v>
      </c>
      <c r="F7" s="1">
        <v>378245</v>
      </c>
      <c r="G7" s="1">
        <v>478707</v>
      </c>
      <c r="I7" s="2">
        <v>3</v>
      </c>
      <c r="J7" s="3">
        <v>488.238</v>
      </c>
      <c r="K7" s="3">
        <v>65066.1</v>
      </c>
      <c r="L7" s="3">
        <v>273144</v>
      </c>
      <c r="M7" s="1">
        <v>575005</v>
      </c>
      <c r="N7" s="1">
        <v>1102550</v>
      </c>
      <c r="O7" s="1">
        <v>1510790</v>
      </c>
      <c r="Q7" s="2">
        <v>3</v>
      </c>
      <c r="R7" s="3">
        <v>151.458</v>
      </c>
      <c r="S7" s="3">
        <v>15244.8</v>
      </c>
      <c r="T7" s="3">
        <v>68893.3</v>
      </c>
      <c r="U7" s="1">
        <v>136248</v>
      </c>
      <c r="V7" s="1">
        <v>281784</v>
      </c>
      <c r="W7" s="1">
        <v>352416</v>
      </c>
      <c r="Y7" s="2">
        <v>3</v>
      </c>
      <c r="Z7" s="3">
        <v>2.4290099999999999</v>
      </c>
      <c r="AA7" s="3">
        <v>29.7041</v>
      </c>
      <c r="AB7" s="3">
        <v>70.017099999999999</v>
      </c>
      <c r="AC7" s="1">
        <v>98.547899999999998</v>
      </c>
      <c r="AD7" s="1">
        <v>145.197</v>
      </c>
      <c r="AE7" s="1">
        <v>165.21600000000001</v>
      </c>
      <c r="AF7" s="1">
        <v>212.393</v>
      </c>
      <c r="AG7" s="1">
        <v>236.88300000000001</v>
      </c>
      <c r="AH7" s="1">
        <v>273.11700000000002</v>
      </c>
      <c r="AI7" s="1">
        <v>308.53399999999999</v>
      </c>
      <c r="AJ7" s="1">
        <v>375.755</v>
      </c>
      <c r="AK7" s="1">
        <v>1912.32</v>
      </c>
      <c r="AL7" s="1">
        <v>3965.51</v>
      </c>
      <c r="AN7" s="2">
        <v>3</v>
      </c>
      <c r="AO7" s="3">
        <v>1.9569399999999999</v>
      </c>
      <c r="AP7" s="3">
        <v>25.872900000000001</v>
      </c>
      <c r="AQ7" s="3">
        <v>55.6631</v>
      </c>
      <c r="AR7" s="1">
        <v>80.695899999999995</v>
      </c>
      <c r="AS7" s="1">
        <v>120.319</v>
      </c>
      <c r="AT7" s="1">
        <v>141.209</v>
      </c>
      <c r="AU7" s="1">
        <v>173.11500000000001</v>
      </c>
      <c r="AV7" s="1">
        <v>227.07499999999999</v>
      </c>
      <c r="AW7" s="1">
        <v>241.54300000000001</v>
      </c>
      <c r="AX7" s="1">
        <v>279.137</v>
      </c>
      <c r="AY7" s="1">
        <v>335.93</v>
      </c>
      <c r="AZ7" s="1">
        <v>1802.77</v>
      </c>
      <c r="BA7" s="1">
        <v>3505.65</v>
      </c>
      <c r="BD7" s="5"/>
      <c r="BI7" s="5"/>
      <c r="BN7" s="5"/>
    </row>
    <row r="8" spans="1:66" s="6" customFormat="1" x14ac:dyDescent="0.4">
      <c r="A8" s="2">
        <v>4</v>
      </c>
      <c r="B8" s="3">
        <v>242.154</v>
      </c>
      <c r="C8" s="3">
        <v>21614.6</v>
      </c>
      <c r="D8" s="3">
        <v>94101.1</v>
      </c>
      <c r="E8" s="1">
        <v>188002</v>
      </c>
      <c r="F8" s="1">
        <v>314824</v>
      </c>
      <c r="G8" s="1">
        <v>517980</v>
      </c>
      <c r="I8" s="2">
        <v>4</v>
      </c>
      <c r="J8" s="3">
        <v>503.52</v>
      </c>
      <c r="K8" s="3">
        <v>65581.899999999994</v>
      </c>
      <c r="L8" s="3">
        <v>271655</v>
      </c>
      <c r="M8" s="1">
        <v>573759</v>
      </c>
      <c r="N8" s="1">
        <v>1006710</v>
      </c>
      <c r="O8" s="1">
        <v>1536500</v>
      </c>
      <c r="Q8" s="2">
        <v>4</v>
      </c>
      <c r="R8" s="3">
        <v>166.95599999999999</v>
      </c>
      <c r="S8" s="3">
        <v>15241.1</v>
      </c>
      <c r="T8" s="3">
        <v>69398.3</v>
      </c>
      <c r="U8" s="1">
        <v>137088</v>
      </c>
      <c r="V8" s="1">
        <v>222250</v>
      </c>
      <c r="W8" s="1">
        <v>376303</v>
      </c>
      <c r="Y8" s="2">
        <v>4</v>
      </c>
      <c r="Z8" s="3">
        <v>3.7009699999999999</v>
      </c>
      <c r="AA8" s="3">
        <v>32.091099999999997</v>
      </c>
      <c r="AB8" s="3">
        <v>72.1982</v>
      </c>
      <c r="AC8" s="1">
        <v>98.636200000000002</v>
      </c>
      <c r="AD8" s="1">
        <v>128.85300000000001</v>
      </c>
      <c r="AE8" s="1">
        <v>165.619</v>
      </c>
      <c r="AF8" s="1">
        <v>227.58799999999999</v>
      </c>
      <c r="AG8" s="1">
        <v>242.79</v>
      </c>
      <c r="AH8" s="1">
        <v>291.327</v>
      </c>
      <c r="AI8" s="1">
        <v>308.26299999999998</v>
      </c>
      <c r="AJ8" s="1">
        <v>353.62900000000002</v>
      </c>
      <c r="AK8" s="1">
        <v>1939.01</v>
      </c>
      <c r="AL8" s="1">
        <v>3965.12</v>
      </c>
      <c r="AN8" s="2">
        <v>4</v>
      </c>
      <c r="AO8" s="3">
        <v>3.02196</v>
      </c>
      <c r="AP8" s="3">
        <v>27.0472</v>
      </c>
      <c r="AQ8" s="3">
        <v>54.326099999999997</v>
      </c>
      <c r="AR8" s="1">
        <v>81.075900000000004</v>
      </c>
      <c r="AS8" s="1">
        <v>111.65300000000001</v>
      </c>
      <c r="AT8" s="1">
        <v>144.93199999999999</v>
      </c>
      <c r="AU8" s="1">
        <v>180.53200000000001</v>
      </c>
      <c r="AV8" s="1">
        <v>202.459</v>
      </c>
      <c r="AW8" s="1">
        <v>237.05099999999999</v>
      </c>
      <c r="AX8" s="1">
        <v>273.88499999999999</v>
      </c>
      <c r="AY8" s="1">
        <v>331.90899999999999</v>
      </c>
      <c r="AZ8" s="1">
        <v>1878.29</v>
      </c>
      <c r="BA8" s="1">
        <v>3522.51</v>
      </c>
      <c r="BD8" s="5"/>
      <c r="BI8" s="5"/>
      <c r="BN8" s="5"/>
    </row>
    <row r="9" spans="1:66" s="6" customFormat="1" x14ac:dyDescent="0.4">
      <c r="A9" s="2">
        <v>5</v>
      </c>
      <c r="B9" s="3">
        <v>243.631</v>
      </c>
      <c r="C9" s="3">
        <v>21660.799999999999</v>
      </c>
      <c r="D9" s="3">
        <v>94191.3</v>
      </c>
      <c r="E9" s="1">
        <v>187413</v>
      </c>
      <c r="F9" s="1">
        <v>315229</v>
      </c>
      <c r="G9" s="1">
        <v>519826</v>
      </c>
      <c r="I9" s="2">
        <v>5</v>
      </c>
      <c r="J9" s="3">
        <v>494.96100000000001</v>
      </c>
      <c r="K9" s="3">
        <v>66862.8</v>
      </c>
      <c r="L9" s="3">
        <v>272974</v>
      </c>
      <c r="M9" s="1">
        <v>572780</v>
      </c>
      <c r="N9" s="1">
        <v>1005680</v>
      </c>
      <c r="O9" s="1">
        <v>1536990</v>
      </c>
      <c r="Q9" s="2">
        <v>5</v>
      </c>
      <c r="R9" s="3">
        <v>151.55199999999999</v>
      </c>
      <c r="S9" s="3">
        <v>15184.6</v>
      </c>
      <c r="T9" s="3">
        <v>68681.100000000006</v>
      </c>
      <c r="U9" s="1">
        <v>135235</v>
      </c>
      <c r="V9" s="1">
        <v>221516</v>
      </c>
      <c r="W9" s="1">
        <v>378983</v>
      </c>
      <c r="Y9" s="2">
        <v>5</v>
      </c>
      <c r="Z9" s="3">
        <v>3.8399700000000001</v>
      </c>
      <c r="AA9" s="3">
        <v>33.093899999999998</v>
      </c>
      <c r="AB9" s="3">
        <v>69.428899999999999</v>
      </c>
      <c r="AC9" s="1">
        <v>103.70699999999999</v>
      </c>
      <c r="AD9" s="1">
        <v>133.334</v>
      </c>
      <c r="AE9" s="1">
        <v>166.72</v>
      </c>
      <c r="AF9" s="1">
        <v>203.102</v>
      </c>
      <c r="AG9" s="1">
        <v>240.88800000000001</v>
      </c>
      <c r="AH9" s="1">
        <v>273.12400000000002</v>
      </c>
      <c r="AI9" s="1">
        <v>313.07600000000002</v>
      </c>
      <c r="AJ9" s="1">
        <v>349.13900000000001</v>
      </c>
      <c r="AK9" s="1">
        <v>1899.35</v>
      </c>
      <c r="AL9" s="1">
        <v>3930.81</v>
      </c>
      <c r="AN9" s="2">
        <v>5</v>
      </c>
      <c r="AO9" s="3">
        <v>2.8870100000000001</v>
      </c>
      <c r="AP9" s="3">
        <v>24.579000000000001</v>
      </c>
      <c r="AQ9" s="3">
        <v>56.134</v>
      </c>
      <c r="AR9" s="1">
        <v>86.679900000000004</v>
      </c>
      <c r="AS9" s="1">
        <v>118.67</v>
      </c>
      <c r="AT9" s="1">
        <v>145.244</v>
      </c>
      <c r="AU9" s="1">
        <v>175.68299999999999</v>
      </c>
      <c r="AV9" s="1">
        <v>211.18199999999999</v>
      </c>
      <c r="AW9" s="1">
        <v>239.30500000000001</v>
      </c>
      <c r="AX9" s="1">
        <v>271.666</v>
      </c>
      <c r="AY9" s="1">
        <v>326.28800000000001</v>
      </c>
      <c r="AZ9" s="1">
        <v>1780.23</v>
      </c>
      <c r="BA9" s="1">
        <v>3477.67</v>
      </c>
      <c r="BD9" s="5"/>
      <c r="BI9" s="5"/>
      <c r="BN9" s="5"/>
    </row>
    <row r="10" spans="1:66" s="6" customFormat="1" x14ac:dyDescent="0.4">
      <c r="A10" s="2">
        <v>6</v>
      </c>
      <c r="B10" s="3">
        <v>240.744</v>
      </c>
      <c r="C10" s="3">
        <v>21962.9</v>
      </c>
      <c r="D10" s="3">
        <v>95548.2</v>
      </c>
      <c r="E10" s="1">
        <v>187920</v>
      </c>
      <c r="F10" s="1">
        <v>314108</v>
      </c>
      <c r="G10" s="1">
        <v>522035</v>
      </c>
      <c r="I10" s="2">
        <v>6</v>
      </c>
      <c r="J10" s="3">
        <v>495.149</v>
      </c>
      <c r="K10" s="3">
        <v>66009.5</v>
      </c>
      <c r="L10" s="3">
        <v>271231</v>
      </c>
      <c r="M10" s="1">
        <v>573926</v>
      </c>
      <c r="N10" s="1">
        <v>1005210</v>
      </c>
      <c r="O10" s="1">
        <v>1542620</v>
      </c>
      <c r="Q10" s="2">
        <v>6</v>
      </c>
      <c r="R10" s="3">
        <v>153.02699999999999</v>
      </c>
      <c r="S10" s="3">
        <v>15132.8</v>
      </c>
      <c r="T10" s="3">
        <v>69960.3</v>
      </c>
      <c r="U10" s="1">
        <v>135852</v>
      </c>
      <c r="V10" s="1">
        <v>222378</v>
      </c>
      <c r="W10" s="1">
        <v>379279</v>
      </c>
      <c r="Y10" s="2">
        <v>6</v>
      </c>
      <c r="Z10" s="3">
        <v>2.4509400000000001</v>
      </c>
      <c r="AA10" s="3">
        <v>34.144199999999998</v>
      </c>
      <c r="AB10" s="3">
        <v>63.283900000000003</v>
      </c>
      <c r="AC10" s="1">
        <v>98.376000000000005</v>
      </c>
      <c r="AD10" s="1">
        <v>129.465</v>
      </c>
      <c r="AE10" s="1">
        <v>165.518</v>
      </c>
      <c r="AF10" s="1">
        <v>202.88399999999999</v>
      </c>
      <c r="AG10" s="1">
        <v>237.19300000000001</v>
      </c>
      <c r="AH10" s="1">
        <v>273.37799999999999</v>
      </c>
      <c r="AI10" s="1">
        <v>307.30099999999999</v>
      </c>
      <c r="AJ10" s="1">
        <v>347.97500000000002</v>
      </c>
      <c r="AK10" s="1">
        <v>1929.27</v>
      </c>
      <c r="AL10" s="1">
        <v>4033.69</v>
      </c>
      <c r="AN10" s="2">
        <v>6</v>
      </c>
      <c r="AO10" s="3">
        <v>2.77305</v>
      </c>
      <c r="AP10" s="3">
        <v>28.677900000000001</v>
      </c>
      <c r="AQ10" s="3">
        <v>66.353800000000007</v>
      </c>
      <c r="AR10" s="1">
        <v>84.482900000000001</v>
      </c>
      <c r="AS10" s="1">
        <v>110.81100000000001</v>
      </c>
      <c r="AT10" s="1">
        <v>143.86000000000001</v>
      </c>
      <c r="AU10" s="1">
        <v>180.196</v>
      </c>
      <c r="AV10" s="1">
        <v>217.03800000000001</v>
      </c>
      <c r="AW10" s="1">
        <v>230.352</v>
      </c>
      <c r="AX10" s="1">
        <v>267.92500000000001</v>
      </c>
      <c r="AY10" s="1">
        <v>330.14699999999999</v>
      </c>
      <c r="AZ10" s="1">
        <v>1848.47</v>
      </c>
      <c r="BA10" s="1">
        <v>3546.06</v>
      </c>
      <c r="BD10" s="5"/>
      <c r="BI10" s="5"/>
      <c r="BN10" s="5"/>
    </row>
    <row r="11" spans="1:66" s="6" customFormat="1" x14ac:dyDescent="0.4">
      <c r="A11" s="2">
        <v>7</v>
      </c>
      <c r="B11" s="3">
        <v>241.34800000000001</v>
      </c>
      <c r="C11" s="3">
        <v>21509.4</v>
      </c>
      <c r="D11" s="3">
        <v>94598.5</v>
      </c>
      <c r="E11" s="1">
        <v>187536</v>
      </c>
      <c r="F11" s="1">
        <v>313730</v>
      </c>
      <c r="G11" s="1">
        <v>520848</v>
      </c>
      <c r="I11" s="2">
        <v>7</v>
      </c>
      <c r="J11" s="3">
        <v>498.291</v>
      </c>
      <c r="K11" s="3">
        <v>65559.199999999997</v>
      </c>
      <c r="L11" s="3">
        <v>273076</v>
      </c>
      <c r="M11" s="1">
        <v>576645</v>
      </c>
      <c r="N11" s="1">
        <v>1003340</v>
      </c>
      <c r="O11" s="1">
        <v>1538990</v>
      </c>
      <c r="Q11" s="2">
        <v>7</v>
      </c>
      <c r="R11" s="3">
        <v>153.10900000000001</v>
      </c>
      <c r="S11" s="3">
        <v>15128.9</v>
      </c>
      <c r="T11" s="3">
        <v>68851.3</v>
      </c>
      <c r="U11" s="1">
        <v>135813</v>
      </c>
      <c r="V11" s="1">
        <v>222240</v>
      </c>
      <c r="W11" s="1">
        <v>377699</v>
      </c>
      <c r="Y11" s="2">
        <v>7</v>
      </c>
      <c r="Z11" s="3">
        <v>2.4330599999999998</v>
      </c>
      <c r="AA11" s="3">
        <v>29.364100000000001</v>
      </c>
      <c r="AB11" s="3">
        <v>68.9161</v>
      </c>
      <c r="AC11" s="1">
        <v>98.245099999999994</v>
      </c>
      <c r="AD11" s="1">
        <v>129.27699999999999</v>
      </c>
      <c r="AE11" s="1">
        <v>166.017</v>
      </c>
      <c r="AF11" s="1">
        <v>200.90899999999999</v>
      </c>
      <c r="AG11" s="1">
        <v>241.88200000000001</v>
      </c>
      <c r="AH11" s="1">
        <v>282.78699999999998</v>
      </c>
      <c r="AI11" s="1">
        <v>308.70699999999999</v>
      </c>
      <c r="AJ11" s="1">
        <v>348.29500000000002</v>
      </c>
      <c r="AK11" s="1">
        <v>1912.62</v>
      </c>
      <c r="AL11" s="1">
        <v>3990.58</v>
      </c>
      <c r="AN11" s="2">
        <v>7</v>
      </c>
      <c r="AO11" s="3">
        <v>2.0029499999999998</v>
      </c>
      <c r="AP11" s="3">
        <v>31.254999999999999</v>
      </c>
      <c r="AQ11" s="3">
        <v>62.34</v>
      </c>
      <c r="AR11" s="1">
        <v>84.134100000000004</v>
      </c>
      <c r="AS11" s="1">
        <v>112.917</v>
      </c>
      <c r="AT11" s="1">
        <v>142.42599999999999</v>
      </c>
      <c r="AU11" s="1">
        <v>176.84399999999999</v>
      </c>
      <c r="AV11" s="1">
        <v>212.935</v>
      </c>
      <c r="AW11" s="1">
        <v>234.595</v>
      </c>
      <c r="AX11" s="1">
        <v>272.80799999999999</v>
      </c>
      <c r="AY11" s="1">
        <v>336.20499999999998</v>
      </c>
      <c r="AZ11" s="1">
        <v>1821.19</v>
      </c>
      <c r="BA11" s="1">
        <v>3658.33</v>
      </c>
      <c r="BD11" s="5"/>
      <c r="BI11" s="5"/>
      <c r="BN11" s="5"/>
    </row>
    <row r="12" spans="1:66" s="6" customFormat="1" x14ac:dyDescent="0.4">
      <c r="A12" s="2">
        <v>8</v>
      </c>
      <c r="B12" s="3">
        <v>242.59899999999999</v>
      </c>
      <c r="C12" s="3">
        <v>21559.5</v>
      </c>
      <c r="D12" s="3">
        <v>94707.9</v>
      </c>
      <c r="E12" s="1">
        <v>187254</v>
      </c>
      <c r="F12" s="1">
        <v>313474</v>
      </c>
      <c r="G12" s="1">
        <v>518721</v>
      </c>
      <c r="I12" s="2">
        <v>8</v>
      </c>
      <c r="J12" s="3">
        <v>495.017</v>
      </c>
      <c r="K12" s="3">
        <v>65359.1</v>
      </c>
      <c r="L12" s="3">
        <v>272248</v>
      </c>
      <c r="M12" s="1">
        <v>573641</v>
      </c>
      <c r="N12" s="1">
        <v>1003070</v>
      </c>
      <c r="O12" s="1">
        <v>1534250</v>
      </c>
      <c r="Q12" s="2">
        <v>8</v>
      </c>
      <c r="R12" s="3">
        <v>152.14400000000001</v>
      </c>
      <c r="S12" s="3">
        <v>15005.1</v>
      </c>
      <c r="T12" s="3">
        <v>68495.5</v>
      </c>
      <c r="U12" s="1">
        <v>135215</v>
      </c>
      <c r="V12" s="1">
        <v>222074</v>
      </c>
      <c r="W12" s="1">
        <v>376462</v>
      </c>
      <c r="Y12" s="2">
        <v>8</v>
      </c>
      <c r="Z12" s="3">
        <v>2.4371100000000001</v>
      </c>
      <c r="AA12" s="3">
        <v>30.173100000000002</v>
      </c>
      <c r="AB12" s="3">
        <v>70.39</v>
      </c>
      <c r="AC12" s="1">
        <v>98.412000000000006</v>
      </c>
      <c r="AD12" s="1">
        <v>128.48599999999999</v>
      </c>
      <c r="AE12" s="1">
        <v>176.24</v>
      </c>
      <c r="AF12" s="1">
        <v>205.30500000000001</v>
      </c>
      <c r="AG12" s="1">
        <v>238.084</v>
      </c>
      <c r="AH12" s="1">
        <v>272.34300000000002</v>
      </c>
      <c r="AI12" s="1">
        <v>332.92</v>
      </c>
      <c r="AJ12" s="1">
        <v>344.274</v>
      </c>
      <c r="AK12" s="1">
        <v>1903.95</v>
      </c>
      <c r="AL12" s="1">
        <v>4086.23</v>
      </c>
      <c r="AN12" s="2">
        <v>8</v>
      </c>
      <c r="AO12" s="3">
        <v>2.0379999999999998</v>
      </c>
      <c r="AP12" s="3">
        <v>25.074000000000002</v>
      </c>
      <c r="AQ12" s="3">
        <v>66.745000000000005</v>
      </c>
      <c r="AR12" s="1">
        <v>84.752799999999993</v>
      </c>
      <c r="AS12" s="1">
        <v>109.791</v>
      </c>
      <c r="AT12" s="1">
        <v>144.61799999999999</v>
      </c>
      <c r="AU12" s="1">
        <v>197.44399999999999</v>
      </c>
      <c r="AV12" s="1">
        <v>211.88800000000001</v>
      </c>
      <c r="AW12" s="1">
        <v>235.328</v>
      </c>
      <c r="AX12" s="1">
        <v>275.29300000000001</v>
      </c>
      <c r="AY12" s="1">
        <v>334.83300000000003</v>
      </c>
      <c r="AZ12" s="1">
        <v>1829.75</v>
      </c>
      <c r="BA12" s="1">
        <v>3685.21</v>
      </c>
      <c r="BD12" s="5"/>
      <c r="BI12" s="5"/>
      <c r="BN12" s="5"/>
    </row>
    <row r="13" spans="1:66" s="6" customFormat="1" x14ac:dyDescent="0.4">
      <c r="A13" s="2">
        <v>9</v>
      </c>
      <c r="B13" s="3">
        <v>242.60400000000001</v>
      </c>
      <c r="C13" s="3">
        <v>22208.9</v>
      </c>
      <c r="D13" s="3">
        <v>94353.9</v>
      </c>
      <c r="E13" s="1">
        <v>186873</v>
      </c>
      <c r="F13" s="1">
        <v>307631</v>
      </c>
      <c r="G13" s="1">
        <v>518829</v>
      </c>
      <c r="I13" s="2">
        <v>9</v>
      </c>
      <c r="J13" s="3">
        <v>497.24099999999999</v>
      </c>
      <c r="K13" s="3">
        <v>66772.899999999994</v>
      </c>
      <c r="L13" s="3">
        <v>270537</v>
      </c>
      <c r="M13" s="1">
        <v>574322</v>
      </c>
      <c r="N13" s="1">
        <v>969611</v>
      </c>
      <c r="O13" s="1">
        <v>1536940</v>
      </c>
      <c r="Q13" s="2">
        <v>9</v>
      </c>
      <c r="R13" s="3">
        <v>153.30099999999999</v>
      </c>
      <c r="S13" s="3">
        <v>15348.5</v>
      </c>
      <c r="T13" s="3">
        <v>68500.3</v>
      </c>
      <c r="U13" s="1">
        <v>135766</v>
      </c>
      <c r="V13" s="1">
        <v>225753</v>
      </c>
      <c r="W13" s="1">
        <v>377502</v>
      </c>
      <c r="Y13" s="2">
        <v>9</v>
      </c>
      <c r="Z13" s="3">
        <v>2.4340199999999999</v>
      </c>
      <c r="AA13" s="3">
        <v>30.204999999999998</v>
      </c>
      <c r="AB13" s="3">
        <v>62.377899999999997</v>
      </c>
      <c r="AC13" s="1">
        <v>98.137900000000002</v>
      </c>
      <c r="AD13" s="1">
        <v>136.98699999999999</v>
      </c>
      <c r="AE13" s="1">
        <v>165.34899999999999</v>
      </c>
      <c r="AF13" s="1">
        <v>208.934</v>
      </c>
      <c r="AG13" s="1">
        <v>237.41800000000001</v>
      </c>
      <c r="AH13" s="1">
        <v>273.26299999999998</v>
      </c>
      <c r="AI13" s="1">
        <v>311.11799999999999</v>
      </c>
      <c r="AJ13" s="1">
        <v>345.01799999999997</v>
      </c>
      <c r="AK13" s="1">
        <v>1915.33</v>
      </c>
      <c r="AL13" s="1">
        <v>4148.04</v>
      </c>
      <c r="AN13" s="2">
        <v>9</v>
      </c>
      <c r="AO13" s="3">
        <v>2.0239400000000001</v>
      </c>
      <c r="AP13" s="3">
        <v>24.8489</v>
      </c>
      <c r="AQ13" s="3">
        <v>60.494900000000001</v>
      </c>
      <c r="AR13" s="1">
        <v>82.013800000000003</v>
      </c>
      <c r="AS13" s="1">
        <v>111.59</v>
      </c>
      <c r="AT13" s="1">
        <v>149.453</v>
      </c>
      <c r="AU13" s="1">
        <v>180.07599999999999</v>
      </c>
      <c r="AV13" s="1">
        <v>209.48500000000001</v>
      </c>
      <c r="AW13" s="1">
        <v>240.58099999999999</v>
      </c>
      <c r="AX13" s="1">
        <v>264.71100000000001</v>
      </c>
      <c r="AY13" s="1">
        <v>335.63400000000001</v>
      </c>
      <c r="AZ13" s="1">
        <v>1844.69</v>
      </c>
      <c r="BA13" s="1">
        <v>3580.65</v>
      </c>
      <c r="BD13" s="5"/>
      <c r="BI13" s="5"/>
      <c r="BN13" s="5"/>
    </row>
    <row r="14" spans="1:66" s="6" customFormat="1" x14ac:dyDescent="0.4">
      <c r="A14" s="2">
        <v>10</v>
      </c>
      <c r="B14" s="3">
        <v>239.37799999999999</v>
      </c>
      <c r="C14" s="3">
        <v>21808.2</v>
      </c>
      <c r="D14" s="3">
        <v>95073.3</v>
      </c>
      <c r="E14" s="1">
        <v>187837</v>
      </c>
      <c r="F14" s="1">
        <v>308227</v>
      </c>
      <c r="G14" s="1">
        <v>519577</v>
      </c>
      <c r="I14" s="2">
        <v>10</v>
      </c>
      <c r="J14" s="3">
        <v>478.91800000000001</v>
      </c>
      <c r="K14" s="3">
        <v>65305</v>
      </c>
      <c r="L14" s="3">
        <v>270587</v>
      </c>
      <c r="M14" s="1">
        <v>572270</v>
      </c>
      <c r="N14" s="1">
        <v>969771</v>
      </c>
      <c r="O14" s="1">
        <v>1538930</v>
      </c>
      <c r="Q14" s="2">
        <v>10</v>
      </c>
      <c r="R14" s="3">
        <v>158.38200000000001</v>
      </c>
      <c r="S14" s="3">
        <v>15134.8</v>
      </c>
      <c r="T14" s="3">
        <v>68498.7</v>
      </c>
      <c r="U14" s="1">
        <v>135152</v>
      </c>
      <c r="V14" s="1">
        <v>226903</v>
      </c>
      <c r="W14" s="1">
        <v>377291</v>
      </c>
      <c r="Y14" s="2">
        <v>10</v>
      </c>
      <c r="Z14" s="3">
        <v>2.4280499999999998</v>
      </c>
      <c r="AA14" s="3">
        <v>29.629899999999999</v>
      </c>
      <c r="AB14" s="3">
        <v>62.366</v>
      </c>
      <c r="AC14" s="1">
        <v>98.272099999999995</v>
      </c>
      <c r="AD14" s="1">
        <v>129.935</v>
      </c>
      <c r="AE14" s="1">
        <v>166.226</v>
      </c>
      <c r="AF14" s="1">
        <v>201.55699999999999</v>
      </c>
      <c r="AG14" s="1">
        <v>238.94200000000001</v>
      </c>
      <c r="AH14" s="1">
        <v>273.77199999999999</v>
      </c>
      <c r="AI14" s="1">
        <v>315.226</v>
      </c>
      <c r="AJ14" s="1">
        <v>344.42399999999998</v>
      </c>
      <c r="AK14" s="1">
        <v>1955.2</v>
      </c>
      <c r="AL14" s="1">
        <v>4039.56</v>
      </c>
      <c r="AN14" s="2">
        <v>10</v>
      </c>
      <c r="AO14" s="3">
        <v>2.1040399999999999</v>
      </c>
      <c r="AP14" s="3">
        <v>24.954999999999998</v>
      </c>
      <c r="AQ14" s="3">
        <v>65.334999999999994</v>
      </c>
      <c r="AR14" s="1">
        <v>83.194999999999993</v>
      </c>
      <c r="AS14" s="1">
        <v>107.032</v>
      </c>
      <c r="AT14" s="1">
        <v>145.56899999999999</v>
      </c>
      <c r="AU14" s="1">
        <v>173.56100000000001</v>
      </c>
      <c r="AV14" s="1">
        <v>203.51</v>
      </c>
      <c r="AW14" s="1">
        <v>236.32300000000001</v>
      </c>
      <c r="AX14" s="1">
        <v>273.52300000000002</v>
      </c>
      <c r="AY14" s="1">
        <v>334.27800000000002</v>
      </c>
      <c r="AZ14" s="1">
        <v>1876.96</v>
      </c>
      <c r="BA14" s="1">
        <v>3469.93</v>
      </c>
      <c r="BD14" s="5"/>
      <c r="BI14" s="5"/>
      <c r="BN14" s="5"/>
    </row>
    <row r="15" spans="1:66" s="6" customFormat="1" x14ac:dyDescent="0.4">
      <c r="A15" s="2">
        <v>11</v>
      </c>
      <c r="B15" s="3">
        <v>236.99100000000001</v>
      </c>
      <c r="C15" s="3">
        <v>21663</v>
      </c>
      <c r="D15" s="3">
        <v>84749.7</v>
      </c>
      <c r="E15" s="1">
        <v>189718</v>
      </c>
      <c r="I15" s="2">
        <v>11</v>
      </c>
      <c r="J15" s="3">
        <v>480.55599999999998</v>
      </c>
      <c r="K15" s="3">
        <v>64922.1</v>
      </c>
      <c r="L15" s="3">
        <v>248323</v>
      </c>
      <c r="M15" s="1">
        <v>554830</v>
      </c>
      <c r="Q15" s="2">
        <v>11</v>
      </c>
      <c r="R15" s="3">
        <v>161.47200000000001</v>
      </c>
      <c r="S15" s="3">
        <v>15111.3</v>
      </c>
      <c r="T15" s="3">
        <v>61440.1</v>
      </c>
      <c r="U15" s="1">
        <v>137556</v>
      </c>
      <c r="Y15" s="2">
        <v>11</v>
      </c>
      <c r="Z15" s="3">
        <v>2.4359199999999999</v>
      </c>
      <c r="AA15" s="3">
        <v>36.239899999999999</v>
      </c>
      <c r="AB15" s="3">
        <v>61.847900000000003</v>
      </c>
      <c r="AC15" s="1">
        <v>95.254900000000006</v>
      </c>
      <c r="AE15" s="5"/>
      <c r="AF15" s="1">
        <v>205.173</v>
      </c>
      <c r="AG15" s="1">
        <v>249.501</v>
      </c>
      <c r="AH15" s="1">
        <v>272.67500000000001</v>
      </c>
      <c r="AI15" s="1">
        <v>310.584</v>
      </c>
      <c r="AJ15" s="1">
        <v>356.649</v>
      </c>
      <c r="AK15" s="1">
        <v>1906.47</v>
      </c>
      <c r="AL15" s="1">
        <v>4056.84</v>
      </c>
      <c r="AN15" s="2">
        <v>11</v>
      </c>
      <c r="AO15" s="3">
        <v>1.9581299999999999</v>
      </c>
      <c r="AP15" s="3">
        <v>25.911100000000001</v>
      </c>
      <c r="AQ15" s="3">
        <v>53.076999999999998</v>
      </c>
      <c r="AR15" s="1">
        <v>85.241799999999998</v>
      </c>
      <c r="AT15" s="5"/>
      <c r="AU15" s="1">
        <v>177.709</v>
      </c>
      <c r="AV15" s="1">
        <v>202.011</v>
      </c>
      <c r="AW15" s="1">
        <v>259.435</v>
      </c>
      <c r="AX15" s="1">
        <v>270.91800000000001</v>
      </c>
      <c r="AY15" s="1">
        <v>341.08499999999998</v>
      </c>
      <c r="AZ15" s="1">
        <v>1821.69</v>
      </c>
      <c r="BA15" s="1">
        <v>3659.65</v>
      </c>
      <c r="BD15" s="5"/>
      <c r="BI15" s="5"/>
      <c r="BN15" s="5"/>
    </row>
    <row r="16" spans="1:66" s="6" customFormat="1" x14ac:dyDescent="0.4">
      <c r="A16" s="2">
        <v>12</v>
      </c>
      <c r="B16" s="3">
        <v>230.46</v>
      </c>
      <c r="C16" s="3">
        <v>21637.3</v>
      </c>
      <c r="D16" s="3">
        <v>84463.7</v>
      </c>
      <c r="E16" s="1">
        <v>190860</v>
      </c>
      <c r="I16" s="2">
        <v>12</v>
      </c>
      <c r="J16" s="3">
        <v>491.45100000000002</v>
      </c>
      <c r="K16" s="3">
        <v>65184.9</v>
      </c>
      <c r="L16" s="3">
        <v>247251</v>
      </c>
      <c r="M16" s="1">
        <v>560417</v>
      </c>
      <c r="Q16" s="2">
        <v>12</v>
      </c>
      <c r="R16" s="3">
        <v>162.88499999999999</v>
      </c>
      <c r="S16" s="3">
        <v>15193.7</v>
      </c>
      <c r="T16" s="3">
        <v>61316.3</v>
      </c>
      <c r="U16" s="1">
        <v>139993</v>
      </c>
      <c r="Y16" s="2">
        <v>12</v>
      </c>
      <c r="Z16" s="3">
        <v>2.43092</v>
      </c>
      <c r="AA16" s="3">
        <v>32.632100000000001</v>
      </c>
      <c r="AB16" s="3">
        <v>62.0852</v>
      </c>
      <c r="AC16" s="1">
        <v>96.316100000000006</v>
      </c>
      <c r="AE16" s="1"/>
      <c r="AF16" s="1">
        <v>206.98</v>
      </c>
      <c r="AG16" s="1">
        <v>239.458</v>
      </c>
      <c r="AH16" s="1">
        <v>282.46800000000002</v>
      </c>
      <c r="AI16" s="1">
        <v>317.41500000000002</v>
      </c>
      <c r="AJ16" s="1">
        <v>355.52600000000001</v>
      </c>
      <c r="AK16" s="1">
        <v>1904.59</v>
      </c>
      <c r="AL16" s="1">
        <v>3995.25</v>
      </c>
      <c r="AN16" s="2">
        <v>12</v>
      </c>
      <c r="AO16" s="3">
        <v>1.98007</v>
      </c>
      <c r="AP16" s="3">
        <v>30.071999999999999</v>
      </c>
      <c r="AQ16" s="3">
        <v>67.515100000000004</v>
      </c>
      <c r="AR16" s="1">
        <v>85.164100000000005</v>
      </c>
      <c r="AT16" s="5"/>
      <c r="AU16" s="1">
        <v>175.82900000000001</v>
      </c>
      <c r="AV16" s="1">
        <v>207.666</v>
      </c>
      <c r="AW16" s="1">
        <v>254.02199999999999</v>
      </c>
      <c r="AX16" s="1">
        <v>267.49299999999999</v>
      </c>
      <c r="AY16" s="1">
        <v>334.39499999999998</v>
      </c>
      <c r="AZ16" s="1">
        <v>1841.78</v>
      </c>
      <c r="BA16" s="1">
        <v>3658.1</v>
      </c>
      <c r="BD16" s="5"/>
      <c r="BI16" s="5"/>
      <c r="BN16" s="5"/>
    </row>
    <row r="17" spans="1:66" s="6" customFormat="1" x14ac:dyDescent="0.4">
      <c r="A17" s="2">
        <v>13</v>
      </c>
      <c r="B17" s="3">
        <v>236.80600000000001</v>
      </c>
      <c r="C17" s="3">
        <v>21725.3</v>
      </c>
      <c r="D17" s="3">
        <v>84095.9</v>
      </c>
      <c r="E17" s="1">
        <v>190205</v>
      </c>
      <c r="I17" s="2">
        <v>13</v>
      </c>
      <c r="J17" s="3">
        <v>495.34899999999999</v>
      </c>
      <c r="K17" s="3">
        <v>65584.800000000003</v>
      </c>
      <c r="L17" s="3">
        <v>246764</v>
      </c>
      <c r="M17" s="1">
        <v>557322</v>
      </c>
      <c r="Q17" s="2">
        <v>13</v>
      </c>
      <c r="R17" s="3">
        <v>164.11799999999999</v>
      </c>
      <c r="S17" s="3">
        <v>15034.4</v>
      </c>
      <c r="T17" s="3">
        <v>61570</v>
      </c>
      <c r="U17" s="1">
        <v>138009</v>
      </c>
      <c r="Y17" s="2">
        <v>13</v>
      </c>
      <c r="Z17" s="3">
        <v>2.4418799999999998</v>
      </c>
      <c r="AA17" s="3">
        <v>37.112000000000002</v>
      </c>
      <c r="AB17" s="3">
        <v>61.960900000000002</v>
      </c>
      <c r="AC17" s="1">
        <v>95.162899999999993</v>
      </c>
      <c r="AF17" s="1">
        <v>206.64</v>
      </c>
      <c r="AG17" s="1">
        <v>238.47</v>
      </c>
      <c r="AH17" s="1">
        <v>290.10500000000002</v>
      </c>
      <c r="AI17" s="1">
        <v>313.57799999999997</v>
      </c>
      <c r="AJ17" s="1">
        <v>345.85500000000002</v>
      </c>
      <c r="AK17" s="1">
        <v>1924.29</v>
      </c>
      <c r="AL17" s="1">
        <v>3989.49</v>
      </c>
      <c r="AN17" s="2">
        <v>13</v>
      </c>
      <c r="AO17" s="3">
        <v>2.0968900000000001</v>
      </c>
      <c r="AP17" s="3">
        <v>24.6401</v>
      </c>
      <c r="AQ17" s="3">
        <v>54.722999999999999</v>
      </c>
      <c r="AR17" s="1">
        <v>82.927000000000007</v>
      </c>
      <c r="AT17" s="5"/>
      <c r="AU17" s="1">
        <v>185.31</v>
      </c>
      <c r="AV17" s="1">
        <v>205.71199999999999</v>
      </c>
      <c r="AW17" s="1">
        <v>260.15499999999997</v>
      </c>
      <c r="AX17" s="1">
        <v>284.82</v>
      </c>
      <c r="AY17" s="1">
        <v>333.40199999999999</v>
      </c>
      <c r="AZ17" s="1">
        <v>1859.14</v>
      </c>
      <c r="BA17" s="1">
        <v>3529.61</v>
      </c>
      <c r="BD17" s="5"/>
      <c r="BI17" s="5"/>
      <c r="BN17" s="5"/>
    </row>
    <row r="18" spans="1:66" s="6" customFormat="1" x14ac:dyDescent="0.4">
      <c r="A18" s="2">
        <v>14</v>
      </c>
      <c r="B18" s="3">
        <v>227.61500000000001</v>
      </c>
      <c r="C18" s="3">
        <v>21501.599999999999</v>
      </c>
      <c r="D18" s="3">
        <v>84991.4</v>
      </c>
      <c r="E18" s="1">
        <v>189280</v>
      </c>
      <c r="I18" s="2">
        <v>14</v>
      </c>
      <c r="J18" s="3">
        <v>484.31200000000001</v>
      </c>
      <c r="K18" s="3">
        <v>65206.6</v>
      </c>
      <c r="L18" s="3">
        <v>247169</v>
      </c>
      <c r="M18" s="1">
        <v>558259</v>
      </c>
      <c r="Q18" s="2">
        <v>14</v>
      </c>
      <c r="R18" s="3">
        <v>160.28</v>
      </c>
      <c r="S18" s="3">
        <v>14934.4</v>
      </c>
      <c r="T18" s="3">
        <v>61173.5</v>
      </c>
      <c r="U18" s="1">
        <v>137739</v>
      </c>
      <c r="Y18" s="2">
        <v>14</v>
      </c>
      <c r="Z18" s="3">
        <v>3.61991</v>
      </c>
      <c r="AA18" s="3">
        <v>38.060899999999997</v>
      </c>
      <c r="AB18" s="3">
        <v>61.963999999999999</v>
      </c>
      <c r="AC18" s="1">
        <v>95.099900000000005</v>
      </c>
      <c r="AF18" s="1">
        <v>203.39</v>
      </c>
      <c r="AG18" s="1">
        <v>239.702</v>
      </c>
      <c r="AH18" s="1">
        <v>286.03500000000003</v>
      </c>
      <c r="AI18" s="1">
        <v>307.19</v>
      </c>
      <c r="AJ18" s="1">
        <v>346.154</v>
      </c>
      <c r="AK18" s="1">
        <v>1966.82</v>
      </c>
      <c r="AL18" s="1">
        <v>3983.71</v>
      </c>
      <c r="AN18" s="2">
        <v>14</v>
      </c>
      <c r="AO18" s="3">
        <v>2.0527799999999998</v>
      </c>
      <c r="AP18" s="3">
        <v>26.001000000000001</v>
      </c>
      <c r="AQ18" s="3">
        <v>53.995800000000003</v>
      </c>
      <c r="AR18" s="1">
        <v>82.634</v>
      </c>
      <c r="AT18" s="5"/>
      <c r="AU18" s="1">
        <v>178.25899999999999</v>
      </c>
      <c r="AV18" s="1">
        <v>211.12700000000001</v>
      </c>
      <c r="AW18" s="1">
        <v>256.887</v>
      </c>
      <c r="AX18" s="1">
        <v>273.322</v>
      </c>
      <c r="AY18" s="1">
        <v>344.91500000000002</v>
      </c>
      <c r="AZ18" s="1">
        <v>1951.19</v>
      </c>
      <c r="BA18" s="1">
        <v>3508.79</v>
      </c>
      <c r="BD18" s="5"/>
      <c r="BI18" s="5"/>
      <c r="BN18" s="5"/>
    </row>
    <row r="19" spans="1:66" s="6" customFormat="1" x14ac:dyDescent="0.4">
      <c r="A19" s="2">
        <v>15</v>
      </c>
      <c r="B19" s="3">
        <v>232.755</v>
      </c>
      <c r="C19" s="3">
        <v>21588.3</v>
      </c>
      <c r="D19" s="3">
        <v>83704.100000000006</v>
      </c>
      <c r="E19" s="1">
        <v>189685</v>
      </c>
      <c r="I19" s="2">
        <v>15</v>
      </c>
      <c r="J19" s="3">
        <v>490.16500000000002</v>
      </c>
      <c r="K19" s="3">
        <v>65077.4</v>
      </c>
      <c r="L19" s="3">
        <v>246458</v>
      </c>
      <c r="M19" s="1">
        <v>561372</v>
      </c>
      <c r="Q19" s="2">
        <v>15</v>
      </c>
      <c r="R19" s="3">
        <v>155.99799999999999</v>
      </c>
      <c r="S19" s="3">
        <v>15173</v>
      </c>
      <c r="T19" s="3">
        <v>61627.9</v>
      </c>
      <c r="U19" s="1">
        <v>137996</v>
      </c>
      <c r="Y19" s="2">
        <v>15</v>
      </c>
      <c r="Z19" s="3">
        <v>3.7939500000000002</v>
      </c>
      <c r="AA19" s="3">
        <v>34.755000000000003</v>
      </c>
      <c r="AB19" s="3">
        <v>63.075099999999999</v>
      </c>
      <c r="AC19" s="1">
        <v>95.052999999999997</v>
      </c>
      <c r="AF19" s="1">
        <v>202.13399999999999</v>
      </c>
      <c r="AG19" s="1">
        <v>239.05699999999999</v>
      </c>
      <c r="AH19" s="1">
        <v>286.71899999999999</v>
      </c>
      <c r="AI19" s="1">
        <v>307.17599999999999</v>
      </c>
      <c r="AJ19" s="1">
        <v>343.97899999999998</v>
      </c>
      <c r="AK19" s="1">
        <v>1934.3</v>
      </c>
      <c r="AL19" s="1">
        <v>3985.83</v>
      </c>
      <c r="AN19" s="2">
        <v>15</v>
      </c>
      <c r="AO19" s="3">
        <v>3.08108</v>
      </c>
      <c r="AP19" s="3">
        <v>25.969000000000001</v>
      </c>
      <c r="AQ19" s="3">
        <v>56.850900000000003</v>
      </c>
      <c r="AR19" s="1">
        <v>81.320999999999998</v>
      </c>
      <c r="AT19" s="5"/>
      <c r="AU19" s="1">
        <v>170.99299999999999</v>
      </c>
      <c r="AV19" s="1">
        <v>207.94499999999999</v>
      </c>
      <c r="AW19" s="1">
        <v>282.12799999999999</v>
      </c>
      <c r="AX19" s="1">
        <v>267.66699999999997</v>
      </c>
      <c r="AY19" s="1">
        <v>330.79899999999998</v>
      </c>
      <c r="AZ19" s="1">
        <v>1908.25</v>
      </c>
      <c r="BA19" s="1">
        <v>3552.74</v>
      </c>
      <c r="BD19" s="5"/>
      <c r="BI19" s="5"/>
      <c r="BN19" s="5"/>
    </row>
    <row r="20" spans="1:66" s="6" customFormat="1" x14ac:dyDescent="0.4">
      <c r="A20" s="2">
        <v>16</v>
      </c>
      <c r="B20" s="3">
        <v>236.83799999999999</v>
      </c>
      <c r="C20" s="3">
        <v>21794.2</v>
      </c>
      <c r="D20" s="3">
        <v>84612</v>
      </c>
      <c r="E20" s="1">
        <v>190367</v>
      </c>
      <c r="I20" s="2">
        <v>16</v>
      </c>
      <c r="J20" s="3">
        <v>511.06299999999999</v>
      </c>
      <c r="K20" s="3">
        <v>64929.2</v>
      </c>
      <c r="L20" s="3">
        <v>246174</v>
      </c>
      <c r="M20" s="1">
        <v>557576</v>
      </c>
      <c r="Q20" s="2">
        <v>16</v>
      </c>
      <c r="R20" s="3">
        <v>164.886</v>
      </c>
      <c r="S20" s="3">
        <v>15110.3</v>
      </c>
      <c r="T20" s="3">
        <v>61193.2</v>
      </c>
      <c r="U20" s="1">
        <v>137689</v>
      </c>
      <c r="Y20" s="2">
        <v>16</v>
      </c>
      <c r="Z20" s="3">
        <v>2.4299599999999999</v>
      </c>
      <c r="AA20" s="3">
        <v>34.774099999999997</v>
      </c>
      <c r="AB20" s="3">
        <v>61.912999999999997</v>
      </c>
      <c r="AC20" s="1">
        <v>103.211</v>
      </c>
      <c r="AF20" s="1">
        <v>215.03700000000001</v>
      </c>
      <c r="AG20" s="1">
        <v>238.38900000000001</v>
      </c>
      <c r="AH20" s="1">
        <v>272.61200000000002</v>
      </c>
      <c r="AI20" s="1">
        <v>309.16300000000001</v>
      </c>
      <c r="AJ20" s="1">
        <v>344.61599999999999</v>
      </c>
      <c r="AK20" s="1">
        <v>1967.24</v>
      </c>
      <c r="AL20" s="1">
        <v>4006.82</v>
      </c>
      <c r="AN20" s="2">
        <v>16</v>
      </c>
      <c r="AO20" s="3">
        <v>2.00915</v>
      </c>
      <c r="AP20" s="3">
        <v>25.672899999999998</v>
      </c>
      <c r="AQ20" s="3">
        <v>57.444099999999999</v>
      </c>
      <c r="AR20" s="1">
        <v>85.376000000000005</v>
      </c>
      <c r="AT20" s="5"/>
      <c r="AU20" s="1">
        <v>181.32</v>
      </c>
      <c r="AV20" s="1">
        <v>201.971</v>
      </c>
      <c r="AW20" s="1">
        <v>232.72200000000001</v>
      </c>
      <c r="AX20" s="1">
        <v>267.78699999999998</v>
      </c>
      <c r="AY20" s="1">
        <v>327.28399999999999</v>
      </c>
      <c r="AZ20" s="1">
        <v>1854.55</v>
      </c>
      <c r="BA20" s="1">
        <v>3473.44</v>
      </c>
      <c r="BD20" s="5"/>
      <c r="BI20" s="5"/>
      <c r="BN20" s="5"/>
    </row>
    <row r="21" spans="1:66" s="6" customFormat="1" x14ac:dyDescent="0.4">
      <c r="A21" s="2">
        <v>17</v>
      </c>
      <c r="B21" s="3">
        <v>235.53</v>
      </c>
      <c r="C21" s="3">
        <v>21692.1</v>
      </c>
      <c r="D21" s="3">
        <v>83835.7</v>
      </c>
      <c r="E21" s="1">
        <v>189136</v>
      </c>
      <c r="I21" s="2">
        <v>17</v>
      </c>
      <c r="J21" s="3">
        <v>487.87299999999999</v>
      </c>
      <c r="K21" s="3">
        <v>65259.6</v>
      </c>
      <c r="L21" s="3">
        <v>246144</v>
      </c>
      <c r="M21" s="1">
        <v>558032</v>
      </c>
      <c r="Q21" s="2">
        <v>17</v>
      </c>
      <c r="R21" s="3">
        <v>155.1</v>
      </c>
      <c r="S21" s="3">
        <v>15178.2</v>
      </c>
      <c r="T21" s="3">
        <v>61425.1</v>
      </c>
      <c r="U21" s="1">
        <v>137514</v>
      </c>
      <c r="Y21" s="2">
        <v>17</v>
      </c>
      <c r="Z21" s="3">
        <v>3.5278800000000001</v>
      </c>
      <c r="AA21" s="3">
        <v>37.6952</v>
      </c>
      <c r="AB21" s="3">
        <v>61.887999999999998</v>
      </c>
      <c r="AC21" s="1">
        <v>95.843999999999994</v>
      </c>
      <c r="AF21" s="1">
        <v>201.96799999999999</v>
      </c>
      <c r="AG21" s="1">
        <v>238.851</v>
      </c>
      <c r="AH21" s="1">
        <v>273.61</v>
      </c>
      <c r="AI21" s="1">
        <v>318.505</v>
      </c>
      <c r="AJ21" s="1">
        <v>366.53300000000002</v>
      </c>
      <c r="AK21" s="1">
        <v>1930.19</v>
      </c>
      <c r="AL21" s="1">
        <v>4009.18</v>
      </c>
      <c r="AN21" s="2">
        <v>17</v>
      </c>
      <c r="AO21" s="3">
        <v>3.3910300000000002</v>
      </c>
      <c r="AP21" s="3">
        <v>24.9221</v>
      </c>
      <c r="AQ21" s="3">
        <v>55.008899999999997</v>
      </c>
      <c r="AR21" s="1">
        <v>87.424999999999997</v>
      </c>
      <c r="AT21" s="5"/>
      <c r="AU21" s="1">
        <v>173.76499999999999</v>
      </c>
      <c r="AV21" s="1">
        <v>204.32</v>
      </c>
      <c r="AW21" s="1">
        <v>237.00800000000001</v>
      </c>
      <c r="AX21" s="1">
        <v>267.85399999999998</v>
      </c>
      <c r="AY21" s="1">
        <v>336.03399999999999</v>
      </c>
      <c r="AZ21" s="1">
        <v>1875.98</v>
      </c>
      <c r="BA21" s="1">
        <v>3541</v>
      </c>
      <c r="BD21" s="5"/>
      <c r="BI21" s="5"/>
      <c r="BN21" s="5"/>
    </row>
    <row r="22" spans="1:66" s="6" customFormat="1" x14ac:dyDescent="0.4">
      <c r="A22" s="2">
        <v>18</v>
      </c>
      <c r="B22" s="3">
        <v>232.899</v>
      </c>
      <c r="C22" s="3">
        <v>21709.599999999999</v>
      </c>
      <c r="D22" s="3">
        <v>83943.3</v>
      </c>
      <c r="E22" s="1">
        <v>189697</v>
      </c>
      <c r="I22" s="2">
        <v>18</v>
      </c>
      <c r="J22" s="3">
        <v>483.399</v>
      </c>
      <c r="K22" s="3">
        <v>65139.5</v>
      </c>
      <c r="L22" s="3">
        <v>247616</v>
      </c>
      <c r="M22" s="1">
        <v>557890</v>
      </c>
      <c r="Q22" s="2">
        <v>18</v>
      </c>
      <c r="R22" s="3">
        <v>149.988</v>
      </c>
      <c r="S22" s="3">
        <v>14991.5</v>
      </c>
      <c r="T22" s="3">
        <v>61474.3</v>
      </c>
      <c r="U22" s="1">
        <v>138144</v>
      </c>
      <c r="Y22" s="2">
        <v>18</v>
      </c>
      <c r="Z22" s="3">
        <v>2.4581</v>
      </c>
      <c r="AA22" s="3">
        <v>32.65</v>
      </c>
      <c r="AB22" s="3">
        <v>61.805999999999997</v>
      </c>
      <c r="AC22" s="1">
        <v>96.227199999999996</v>
      </c>
      <c r="AF22" s="1">
        <v>200.78399999999999</v>
      </c>
      <c r="AG22" s="1">
        <v>237.51</v>
      </c>
      <c r="AH22" s="1">
        <v>277.036</v>
      </c>
      <c r="AI22" s="1">
        <v>311.01799999999997</v>
      </c>
      <c r="AJ22" s="1">
        <v>343.50700000000001</v>
      </c>
      <c r="AK22" s="1">
        <v>2049.9</v>
      </c>
      <c r="AL22" s="1">
        <v>4010.48</v>
      </c>
      <c r="AN22" s="2">
        <v>18</v>
      </c>
      <c r="AO22" s="3">
        <v>1.9700500000000001</v>
      </c>
      <c r="AP22" s="3">
        <v>25.3019</v>
      </c>
      <c r="AQ22" s="3">
        <v>55.053899999999999</v>
      </c>
      <c r="AR22" s="1">
        <v>86.298000000000002</v>
      </c>
      <c r="AT22" s="5"/>
      <c r="AU22" s="1">
        <v>227.24199999999999</v>
      </c>
      <c r="AV22" s="1">
        <v>216.95699999999999</v>
      </c>
      <c r="AW22" s="1">
        <v>237.685</v>
      </c>
      <c r="AX22" s="1">
        <v>273.577</v>
      </c>
      <c r="AY22" s="1">
        <v>343.67099999999999</v>
      </c>
      <c r="AZ22" s="1">
        <v>1936.32</v>
      </c>
      <c r="BA22" s="1">
        <v>3676.24</v>
      </c>
      <c r="BD22" s="5"/>
      <c r="BI22" s="5"/>
      <c r="BN22" s="5"/>
    </row>
    <row r="23" spans="1:66" s="6" customFormat="1" x14ac:dyDescent="0.4">
      <c r="A23" s="2">
        <v>19</v>
      </c>
      <c r="B23" s="3">
        <v>240.34899999999999</v>
      </c>
      <c r="C23" s="3">
        <v>21431.1</v>
      </c>
      <c r="D23" s="3">
        <v>84256.7</v>
      </c>
      <c r="E23" s="1">
        <v>189716</v>
      </c>
      <c r="I23" s="2">
        <v>19</v>
      </c>
      <c r="J23" s="3">
        <v>478.58</v>
      </c>
      <c r="K23" s="3">
        <v>65159.1</v>
      </c>
      <c r="L23" s="3">
        <v>246506</v>
      </c>
      <c r="M23" s="1">
        <v>562880</v>
      </c>
      <c r="Q23" s="2">
        <v>19</v>
      </c>
      <c r="R23" s="3">
        <v>158.77099999999999</v>
      </c>
      <c r="S23" s="3">
        <v>15005.6</v>
      </c>
      <c r="T23" s="3">
        <v>61463.4</v>
      </c>
      <c r="U23" s="1">
        <v>138664</v>
      </c>
      <c r="Y23" s="2">
        <v>19</v>
      </c>
      <c r="Z23" s="3">
        <v>2.4840800000000001</v>
      </c>
      <c r="AA23" s="3">
        <v>30.594799999999999</v>
      </c>
      <c r="AB23" s="3">
        <v>62.364100000000001</v>
      </c>
      <c r="AC23" s="1">
        <v>97.325999999999993</v>
      </c>
      <c r="AF23" s="1">
        <v>229.93100000000001</v>
      </c>
      <c r="AG23" s="1">
        <v>237.47300000000001</v>
      </c>
      <c r="AH23" s="1">
        <v>272.26100000000002</v>
      </c>
      <c r="AI23" s="1">
        <v>394.19099999999997</v>
      </c>
      <c r="AJ23" s="1">
        <v>350.512</v>
      </c>
      <c r="AK23" s="1">
        <v>2099.44</v>
      </c>
      <c r="AL23" s="1">
        <v>4159.8</v>
      </c>
      <c r="AN23" s="2">
        <v>19</v>
      </c>
      <c r="AO23" s="3">
        <v>2.02894</v>
      </c>
      <c r="AP23" s="3">
        <v>31.704899999999999</v>
      </c>
      <c r="AQ23" s="3">
        <v>53.680900000000001</v>
      </c>
      <c r="AR23" s="1">
        <v>83.358000000000004</v>
      </c>
      <c r="AT23" s="5"/>
      <c r="AU23" s="1">
        <v>210.89400000000001</v>
      </c>
      <c r="AV23" s="1">
        <v>211.874</v>
      </c>
      <c r="AW23" s="1">
        <v>235.73500000000001</v>
      </c>
      <c r="AX23" s="1">
        <v>271.71899999999999</v>
      </c>
      <c r="AY23" s="1">
        <v>347.452</v>
      </c>
      <c r="AZ23" s="1">
        <v>1933.88</v>
      </c>
      <c r="BA23" s="1">
        <v>3569.16</v>
      </c>
      <c r="BD23" s="5"/>
      <c r="BI23" s="5"/>
      <c r="BN23" s="5"/>
    </row>
    <row r="24" spans="1:66" s="6" customFormat="1" x14ac:dyDescent="0.4">
      <c r="A24" s="2">
        <v>20</v>
      </c>
      <c r="B24" s="3">
        <v>236.857</v>
      </c>
      <c r="C24" s="3">
        <v>21355.7</v>
      </c>
      <c r="D24" s="3">
        <v>84348.1</v>
      </c>
      <c r="E24" s="1">
        <v>190750</v>
      </c>
      <c r="I24" s="2">
        <v>20</v>
      </c>
      <c r="J24" s="3">
        <v>480.88</v>
      </c>
      <c r="K24" s="3">
        <v>65436.3</v>
      </c>
      <c r="L24" s="3">
        <v>247020</v>
      </c>
      <c r="M24" s="1">
        <v>564909</v>
      </c>
      <c r="Q24" s="2">
        <v>20</v>
      </c>
      <c r="R24" s="3">
        <v>163.69900000000001</v>
      </c>
      <c r="S24" s="3">
        <v>15119.3</v>
      </c>
      <c r="T24" s="3">
        <v>61557.9</v>
      </c>
      <c r="U24" s="1">
        <v>141439</v>
      </c>
      <c r="Y24" s="2">
        <v>20</v>
      </c>
      <c r="Z24" s="3">
        <v>2.4380700000000002</v>
      </c>
      <c r="AA24" s="3">
        <v>29.697900000000001</v>
      </c>
      <c r="AB24" s="3">
        <v>65.442999999999998</v>
      </c>
      <c r="AC24" s="1">
        <v>95.108000000000004</v>
      </c>
      <c r="AF24" s="1">
        <v>211.24100000000001</v>
      </c>
      <c r="AG24" s="1">
        <v>239.21600000000001</v>
      </c>
      <c r="AH24" s="1">
        <v>274.75299999999999</v>
      </c>
      <c r="AI24" s="1">
        <v>309.50900000000001</v>
      </c>
      <c r="AJ24" s="1">
        <v>343.78399999999999</v>
      </c>
      <c r="AK24" s="1">
        <v>2072.19</v>
      </c>
      <c r="AL24" s="1">
        <v>3983.74</v>
      </c>
      <c r="AN24" s="2">
        <v>20</v>
      </c>
      <c r="AO24" s="3">
        <v>2.06399</v>
      </c>
      <c r="AP24" s="3">
        <v>29.669</v>
      </c>
      <c r="AQ24" s="3">
        <v>60.685899999999997</v>
      </c>
      <c r="AR24" s="1">
        <v>86.943100000000001</v>
      </c>
      <c r="AT24" s="5"/>
      <c r="AU24" s="1">
        <v>177.17099999999999</v>
      </c>
      <c r="AV24" s="1">
        <v>244.48</v>
      </c>
      <c r="AW24" s="1">
        <v>244.35900000000001</v>
      </c>
      <c r="AX24" s="1">
        <v>279.02600000000001</v>
      </c>
      <c r="AY24" s="1">
        <v>334.53</v>
      </c>
      <c r="AZ24" s="1">
        <v>1853.15</v>
      </c>
      <c r="BA24" s="1">
        <v>3552.12</v>
      </c>
      <c r="BD24" s="5"/>
      <c r="BI24" s="5"/>
      <c r="BN24" s="5"/>
    </row>
    <row r="29" spans="1:66" ht="27.75" x14ac:dyDescent="0.4">
      <c r="A29" s="4" t="s">
        <v>12</v>
      </c>
      <c r="D29" s="1" t="s">
        <v>367</v>
      </c>
      <c r="F29" s="4" t="s">
        <v>113</v>
      </c>
      <c r="I29" s="1" t="s">
        <v>367</v>
      </c>
      <c r="K29" s="4" t="s">
        <v>215</v>
      </c>
      <c r="N29" s="1" t="s">
        <v>367</v>
      </c>
      <c r="P29" s="4" t="s">
        <v>316</v>
      </c>
      <c r="S29" s="1" t="s">
        <v>367</v>
      </c>
      <c r="U29" s="4" t="s">
        <v>487</v>
      </c>
      <c r="X29" s="1" t="s">
        <v>367</v>
      </c>
      <c r="Z29" s="4" t="s">
        <v>476</v>
      </c>
      <c r="AC29" s="1" t="s">
        <v>367</v>
      </c>
      <c r="AE29" s="4" t="s">
        <v>535</v>
      </c>
      <c r="AH29" s="1" t="s">
        <v>824</v>
      </c>
      <c r="AJ29" s="4" t="s">
        <v>576</v>
      </c>
      <c r="AM29" s="1" t="s">
        <v>825</v>
      </c>
      <c r="AQ29" s="4" t="s">
        <v>617</v>
      </c>
      <c r="AT29" s="1" t="s">
        <v>826</v>
      </c>
      <c r="AV29" s="4" t="s">
        <v>658</v>
      </c>
      <c r="AY29" s="1" t="s">
        <v>827</v>
      </c>
      <c r="BA29" s="4" t="s">
        <v>781</v>
      </c>
      <c r="BD29" s="1" t="s">
        <v>828</v>
      </c>
      <c r="BF29" s="4" t="s">
        <v>740</v>
      </c>
      <c r="BI29" s="1" t="s">
        <v>829</v>
      </c>
      <c r="BK29" s="4" t="s">
        <v>699</v>
      </c>
      <c r="BN29" s="1" t="s">
        <v>830</v>
      </c>
    </row>
    <row r="30" spans="1:66" x14ac:dyDescent="0.4">
      <c r="A30" s="4" t="s">
        <v>13</v>
      </c>
      <c r="D30" s="1">
        <v>21600.3</v>
      </c>
      <c r="F30" s="4">
        <v>0</v>
      </c>
      <c r="I30" s="1">
        <v>251.42</v>
      </c>
      <c r="K30" s="4">
        <v>1</v>
      </c>
      <c r="N30" s="1">
        <v>94892.4</v>
      </c>
      <c r="P30" s="4">
        <v>1</v>
      </c>
      <c r="S30" s="1">
        <v>188075</v>
      </c>
      <c r="U30" s="4">
        <v>1</v>
      </c>
      <c r="X30" s="1">
        <v>378464</v>
      </c>
      <c r="Z30" s="4">
        <v>4</v>
      </c>
      <c r="AC30" s="1">
        <v>481701</v>
      </c>
      <c r="AE30" s="4">
        <v>2</v>
      </c>
      <c r="AH30" s="5"/>
      <c r="AJ30" s="4">
        <v>22</v>
      </c>
      <c r="AM30" s="5"/>
      <c r="AQ30" s="4">
        <v>42</v>
      </c>
      <c r="AV30" s="4">
        <v>62</v>
      </c>
      <c r="BA30" s="4">
        <v>21</v>
      </c>
      <c r="BF30" s="4">
        <v>1</v>
      </c>
      <c r="BK30" s="4">
        <v>82</v>
      </c>
    </row>
    <row r="31" spans="1:66" x14ac:dyDescent="0.4">
      <c r="A31" s="4" t="s">
        <v>14</v>
      </c>
      <c r="D31" s="1">
        <v>21507.9</v>
      </c>
      <c r="F31" s="4" t="s">
        <v>214</v>
      </c>
      <c r="I31" s="1">
        <v>246.63200000000001</v>
      </c>
      <c r="K31" s="4" t="s">
        <v>216</v>
      </c>
      <c r="N31" s="1">
        <v>94096</v>
      </c>
      <c r="P31" s="4" t="s">
        <v>317</v>
      </c>
      <c r="S31" s="1">
        <v>187881</v>
      </c>
      <c r="U31" s="4" t="s">
        <v>488</v>
      </c>
      <c r="X31" s="1">
        <v>378565</v>
      </c>
      <c r="Z31" s="4" t="s">
        <v>437</v>
      </c>
      <c r="AA31" s="4" t="s">
        <v>477</v>
      </c>
      <c r="AC31" s="1">
        <v>481032</v>
      </c>
      <c r="AE31" s="4" t="s">
        <v>443</v>
      </c>
      <c r="AF31" s="4" t="s">
        <v>536</v>
      </c>
      <c r="AH31" s="1" t="s">
        <v>370</v>
      </c>
      <c r="AJ31" s="4" t="s">
        <v>443</v>
      </c>
      <c r="AK31" s="4" t="s">
        <v>577</v>
      </c>
      <c r="AM31" s="1" t="s">
        <v>370</v>
      </c>
      <c r="AQ31" s="4" t="s">
        <v>443</v>
      </c>
      <c r="AR31" s="4" t="s">
        <v>618</v>
      </c>
      <c r="AT31" s="1" t="s">
        <v>370</v>
      </c>
      <c r="AV31" s="4" t="s">
        <v>443</v>
      </c>
      <c r="AW31" s="4" t="s">
        <v>659</v>
      </c>
      <c r="AY31" s="1" t="s">
        <v>370</v>
      </c>
      <c r="BA31" s="4" t="s">
        <v>443</v>
      </c>
      <c r="BB31" s="4" t="s">
        <v>782</v>
      </c>
      <c r="BD31" s="1" t="s">
        <v>370</v>
      </c>
      <c r="BF31" s="4" t="s">
        <v>443</v>
      </c>
      <c r="BG31" s="4" t="s">
        <v>741</v>
      </c>
      <c r="BI31" s="1" t="s">
        <v>370</v>
      </c>
      <c r="BK31" s="4" t="s">
        <v>443</v>
      </c>
      <c r="BL31" s="4" t="s">
        <v>700</v>
      </c>
      <c r="BN31" s="1" t="s">
        <v>370</v>
      </c>
    </row>
    <row r="32" spans="1:66" x14ac:dyDescent="0.4">
      <c r="A32" s="4" t="s">
        <v>15</v>
      </c>
      <c r="D32" s="1">
        <v>21755.4</v>
      </c>
      <c r="F32" s="4" t="s">
        <v>114</v>
      </c>
      <c r="I32" s="1">
        <v>248.625</v>
      </c>
      <c r="K32" s="4" t="s">
        <v>217</v>
      </c>
      <c r="N32" s="1">
        <v>93982.3</v>
      </c>
      <c r="P32" s="4" t="s">
        <v>318</v>
      </c>
      <c r="S32" s="1">
        <v>188499</v>
      </c>
      <c r="U32" s="4" t="s">
        <v>423</v>
      </c>
      <c r="X32" s="1">
        <v>378245</v>
      </c>
      <c r="Z32" s="4" t="s">
        <v>439</v>
      </c>
      <c r="AA32" s="4" t="s">
        <v>478</v>
      </c>
      <c r="AC32" s="1">
        <v>478707</v>
      </c>
      <c r="AE32" s="4" t="s">
        <v>445</v>
      </c>
      <c r="AF32" s="4" t="s">
        <v>537</v>
      </c>
      <c r="AH32" s="1">
        <v>208.364</v>
      </c>
      <c r="AJ32" s="4" t="s">
        <v>445</v>
      </c>
      <c r="AK32" s="4" t="s">
        <v>578</v>
      </c>
      <c r="AM32" s="1">
        <v>246.376</v>
      </c>
      <c r="AQ32" s="4" t="s">
        <v>445</v>
      </c>
      <c r="AR32" s="4" t="s">
        <v>619</v>
      </c>
      <c r="AT32" s="1">
        <v>277.39499999999998</v>
      </c>
      <c r="AV32" s="4" t="s">
        <v>445</v>
      </c>
      <c r="AW32" s="4" t="s">
        <v>660</v>
      </c>
      <c r="AY32" s="1">
        <v>308.08999999999997</v>
      </c>
      <c r="BA32" s="4" t="s">
        <v>445</v>
      </c>
      <c r="BB32" s="4" t="s">
        <v>783</v>
      </c>
      <c r="BD32" s="1">
        <v>353.19</v>
      </c>
      <c r="BF32" s="4" t="s">
        <v>445</v>
      </c>
      <c r="BG32" s="4" t="s">
        <v>742</v>
      </c>
      <c r="BI32" s="1">
        <v>1907.89</v>
      </c>
      <c r="BK32" s="4" t="s">
        <v>445</v>
      </c>
      <c r="BL32" s="4" t="s">
        <v>701</v>
      </c>
      <c r="BN32" s="1">
        <v>3976.67</v>
      </c>
    </row>
    <row r="33" spans="1:66" x14ac:dyDescent="0.4">
      <c r="A33" s="4" t="s">
        <v>16</v>
      </c>
      <c r="D33" s="1">
        <v>21614.6</v>
      </c>
      <c r="F33" s="4" t="s">
        <v>115</v>
      </c>
      <c r="I33" s="1">
        <v>242.154</v>
      </c>
      <c r="K33" s="4" t="s">
        <v>218</v>
      </c>
      <c r="N33" s="1">
        <v>94101.1</v>
      </c>
      <c r="P33" s="4" t="s">
        <v>319</v>
      </c>
      <c r="S33" s="1">
        <v>188002</v>
      </c>
      <c r="U33" s="4" t="s">
        <v>424</v>
      </c>
      <c r="X33" s="1">
        <v>314824</v>
      </c>
      <c r="Z33" s="4" t="s">
        <v>441</v>
      </c>
      <c r="AA33" s="4" t="s">
        <v>479</v>
      </c>
      <c r="AC33" s="1">
        <v>517980</v>
      </c>
      <c r="AH33" s="1">
        <v>203.29300000000001</v>
      </c>
      <c r="AM33" s="1">
        <v>238.404</v>
      </c>
      <c r="AT33" s="1">
        <v>296.90600000000001</v>
      </c>
      <c r="AY33" s="1">
        <v>307.887</v>
      </c>
      <c r="BD33" s="1">
        <v>347.55</v>
      </c>
      <c r="BI33" s="1">
        <v>1943.98</v>
      </c>
      <c r="BN33" s="1">
        <v>3972.78</v>
      </c>
    </row>
    <row r="34" spans="1:66" x14ac:dyDescent="0.4">
      <c r="A34" s="4" t="s">
        <v>17</v>
      </c>
      <c r="D34" s="1">
        <v>21660.799999999999</v>
      </c>
      <c r="F34" s="4" t="s">
        <v>116</v>
      </c>
      <c r="I34" s="1">
        <v>243.631</v>
      </c>
      <c r="K34" s="4" t="s">
        <v>219</v>
      </c>
      <c r="N34" s="1">
        <v>94191.3</v>
      </c>
      <c r="P34" s="4" t="s">
        <v>320</v>
      </c>
      <c r="S34" s="1">
        <v>187413</v>
      </c>
      <c r="U34" s="4" t="s">
        <v>425</v>
      </c>
      <c r="X34" s="1">
        <v>315229</v>
      </c>
      <c r="Z34" s="4" t="s">
        <v>443</v>
      </c>
      <c r="AA34" s="4" t="s">
        <v>480</v>
      </c>
      <c r="AC34" s="1">
        <v>519826</v>
      </c>
      <c r="AE34" s="4" t="s">
        <v>535</v>
      </c>
      <c r="AH34" s="1">
        <v>212.393</v>
      </c>
      <c r="AJ34" s="4" t="s">
        <v>576</v>
      </c>
      <c r="AM34" s="1">
        <v>236.88300000000001</v>
      </c>
      <c r="AQ34" s="4" t="s">
        <v>617</v>
      </c>
      <c r="AT34" s="1">
        <v>273.11700000000002</v>
      </c>
      <c r="AV34" s="4" t="s">
        <v>658</v>
      </c>
      <c r="AY34" s="1">
        <v>308.53399999999999</v>
      </c>
      <c r="BA34" s="4" t="s">
        <v>781</v>
      </c>
      <c r="BD34" s="1">
        <v>375.755</v>
      </c>
      <c r="BF34" s="4" t="s">
        <v>740</v>
      </c>
      <c r="BI34" s="1">
        <v>1912.32</v>
      </c>
      <c r="BK34" s="4" t="s">
        <v>699</v>
      </c>
      <c r="BN34" s="1">
        <v>3965.51</v>
      </c>
    </row>
    <row r="35" spans="1:66" x14ac:dyDescent="0.4">
      <c r="D35" s="1">
        <v>21962.9</v>
      </c>
      <c r="F35" s="4" t="s">
        <v>117</v>
      </c>
      <c r="I35" s="1">
        <v>240.744</v>
      </c>
      <c r="K35" s="4" t="s">
        <v>220</v>
      </c>
      <c r="N35" s="1">
        <v>95548.2</v>
      </c>
      <c r="P35" s="4" t="s">
        <v>321</v>
      </c>
      <c r="S35" s="1">
        <v>187920</v>
      </c>
      <c r="U35" s="4" t="s">
        <v>426</v>
      </c>
      <c r="X35" s="1">
        <v>314108</v>
      </c>
      <c r="Z35" s="4" t="s">
        <v>445</v>
      </c>
      <c r="AA35" s="4" t="s">
        <v>481</v>
      </c>
      <c r="AC35" s="1">
        <v>522035</v>
      </c>
      <c r="AE35" s="4">
        <v>3</v>
      </c>
      <c r="AH35" s="1">
        <v>227.58799999999999</v>
      </c>
      <c r="AJ35" s="4">
        <v>23</v>
      </c>
      <c r="AM35" s="1">
        <v>242.79</v>
      </c>
      <c r="AQ35" s="4">
        <v>43</v>
      </c>
      <c r="AT35" s="1">
        <v>291.327</v>
      </c>
      <c r="AV35" s="4">
        <v>63</v>
      </c>
      <c r="AY35" s="1">
        <v>308.26299999999998</v>
      </c>
      <c r="BA35" s="4">
        <v>22</v>
      </c>
      <c r="BD35" s="1">
        <v>353.62900000000002</v>
      </c>
      <c r="BF35" s="4">
        <v>2</v>
      </c>
      <c r="BI35" s="1">
        <v>1939.01</v>
      </c>
      <c r="BK35" s="4">
        <v>83</v>
      </c>
      <c r="BN35" s="1">
        <v>3965.12</v>
      </c>
    </row>
    <row r="36" spans="1:66" x14ac:dyDescent="0.4">
      <c r="A36" s="4" t="s">
        <v>12</v>
      </c>
      <c r="D36" s="1">
        <v>21509.4</v>
      </c>
      <c r="I36" s="1">
        <v>241.34800000000001</v>
      </c>
      <c r="N36" s="1">
        <v>94598.5</v>
      </c>
      <c r="S36" s="1">
        <v>187536</v>
      </c>
      <c r="X36" s="1">
        <v>313730</v>
      </c>
      <c r="AC36" s="1">
        <v>520848</v>
      </c>
      <c r="AE36" s="4" t="s">
        <v>443</v>
      </c>
      <c r="AF36" s="4" t="s">
        <v>538</v>
      </c>
      <c r="AH36" s="1">
        <v>203.102</v>
      </c>
      <c r="AJ36" s="4" t="s">
        <v>443</v>
      </c>
      <c r="AK36" s="4" t="s">
        <v>579</v>
      </c>
      <c r="AM36" s="1">
        <v>240.88800000000001</v>
      </c>
      <c r="AQ36" s="4" t="s">
        <v>443</v>
      </c>
      <c r="AR36" s="4" t="s">
        <v>620</v>
      </c>
      <c r="AT36" s="1">
        <v>273.12400000000002</v>
      </c>
      <c r="AV36" s="4" t="s">
        <v>443</v>
      </c>
      <c r="AW36" s="4" t="s">
        <v>661</v>
      </c>
      <c r="AY36" s="1">
        <v>313.07600000000002</v>
      </c>
      <c r="BA36" s="4" t="s">
        <v>443</v>
      </c>
      <c r="BB36" s="4" t="s">
        <v>784</v>
      </c>
      <c r="BD36" s="1">
        <v>349.13900000000001</v>
      </c>
      <c r="BF36" s="4" t="s">
        <v>443</v>
      </c>
      <c r="BG36" s="4" t="s">
        <v>743</v>
      </c>
      <c r="BI36" s="1">
        <v>1899.35</v>
      </c>
      <c r="BK36" s="4" t="s">
        <v>443</v>
      </c>
      <c r="BL36" s="4" t="s">
        <v>702</v>
      </c>
      <c r="BN36" s="1">
        <v>3930.81</v>
      </c>
    </row>
    <row r="37" spans="1:66" x14ac:dyDescent="0.4">
      <c r="A37" s="4" t="s">
        <v>18</v>
      </c>
      <c r="D37" s="1">
        <v>21559.5</v>
      </c>
      <c r="F37" s="4" t="s">
        <v>113</v>
      </c>
      <c r="I37" s="1">
        <v>242.59899999999999</v>
      </c>
      <c r="K37" s="4" t="s">
        <v>215</v>
      </c>
      <c r="N37" s="1">
        <v>94707.9</v>
      </c>
      <c r="P37" s="4" t="s">
        <v>316</v>
      </c>
      <c r="S37" s="1">
        <v>187254</v>
      </c>
      <c r="U37" s="4" t="s">
        <v>422</v>
      </c>
      <c r="X37" s="1">
        <v>313474</v>
      </c>
      <c r="Z37" s="4" t="s">
        <v>476</v>
      </c>
      <c r="AC37" s="1">
        <v>518721</v>
      </c>
      <c r="AE37" s="4" t="s">
        <v>445</v>
      </c>
      <c r="AF37" s="4" t="s">
        <v>539</v>
      </c>
      <c r="AH37" s="1">
        <v>202.88399999999999</v>
      </c>
      <c r="AJ37" s="4" t="s">
        <v>445</v>
      </c>
      <c r="AK37" s="4" t="s">
        <v>580</v>
      </c>
      <c r="AM37" s="1">
        <v>237.19300000000001</v>
      </c>
      <c r="AQ37" s="4" t="s">
        <v>445</v>
      </c>
      <c r="AR37" s="4" t="s">
        <v>621</v>
      </c>
      <c r="AT37" s="1">
        <v>273.37799999999999</v>
      </c>
      <c r="AV37" s="4" t="s">
        <v>445</v>
      </c>
      <c r="AW37" s="4" t="s">
        <v>662</v>
      </c>
      <c r="AY37" s="1">
        <v>307.30099999999999</v>
      </c>
      <c r="BA37" s="4" t="s">
        <v>445</v>
      </c>
      <c r="BB37" s="4" t="s">
        <v>785</v>
      </c>
      <c r="BD37" s="1">
        <v>347.97500000000002</v>
      </c>
      <c r="BF37" s="4" t="s">
        <v>445</v>
      </c>
      <c r="BG37" s="4" t="s">
        <v>744</v>
      </c>
      <c r="BI37" s="1">
        <v>1929.27</v>
      </c>
      <c r="BK37" s="4" t="s">
        <v>445</v>
      </c>
      <c r="BL37" s="4" t="s">
        <v>703</v>
      </c>
      <c r="BN37" s="1">
        <v>4033.69</v>
      </c>
    </row>
    <row r="38" spans="1:66" x14ac:dyDescent="0.4">
      <c r="A38" s="4" t="s">
        <v>19</v>
      </c>
      <c r="D38" s="1">
        <v>22208.9</v>
      </c>
      <c r="F38" s="4">
        <v>1</v>
      </c>
      <c r="I38" s="1">
        <v>242.60400000000001</v>
      </c>
      <c r="K38" s="4">
        <v>2</v>
      </c>
      <c r="N38" s="1">
        <v>94353.9</v>
      </c>
      <c r="P38" s="4">
        <v>2</v>
      </c>
      <c r="S38" s="1">
        <v>186873</v>
      </c>
      <c r="U38" s="4">
        <v>2</v>
      </c>
      <c r="X38" s="1">
        <v>307631</v>
      </c>
      <c r="Z38" s="4">
        <v>5</v>
      </c>
      <c r="AC38" s="1">
        <v>518829</v>
      </c>
      <c r="AH38" s="1">
        <v>200.90899999999999</v>
      </c>
      <c r="AM38" s="1">
        <v>241.88200000000001</v>
      </c>
      <c r="AT38" s="1">
        <v>282.78699999999998</v>
      </c>
      <c r="AY38" s="1">
        <v>308.70699999999999</v>
      </c>
      <c r="BD38" s="1">
        <v>348.29500000000002</v>
      </c>
      <c r="BI38" s="1">
        <v>1912.62</v>
      </c>
      <c r="BN38" s="1">
        <v>3990.58</v>
      </c>
    </row>
    <row r="39" spans="1:66" x14ac:dyDescent="0.4">
      <c r="A39" s="4" t="s">
        <v>20</v>
      </c>
      <c r="D39" s="1">
        <v>21808.2</v>
      </c>
      <c r="F39" s="4" t="s">
        <v>118</v>
      </c>
      <c r="I39" s="1">
        <v>239.37799999999999</v>
      </c>
      <c r="K39" s="4" t="s">
        <v>221</v>
      </c>
      <c r="N39" s="1">
        <v>95073.3</v>
      </c>
      <c r="P39" s="4" t="s">
        <v>322</v>
      </c>
      <c r="S39" s="1">
        <v>187837</v>
      </c>
      <c r="U39" s="4" t="s">
        <v>427</v>
      </c>
      <c r="X39" s="1">
        <v>308227</v>
      </c>
      <c r="Z39" s="4" t="s">
        <v>437</v>
      </c>
      <c r="AA39" s="4" t="s">
        <v>482</v>
      </c>
      <c r="AC39" s="1">
        <v>519577</v>
      </c>
      <c r="AE39" s="4" t="s">
        <v>535</v>
      </c>
      <c r="AH39" s="1">
        <v>205.30500000000001</v>
      </c>
      <c r="AJ39" s="4" t="s">
        <v>576</v>
      </c>
      <c r="AM39" s="1">
        <v>238.084</v>
      </c>
      <c r="AQ39" s="4" t="s">
        <v>617</v>
      </c>
      <c r="AT39" s="1">
        <v>272.34300000000002</v>
      </c>
      <c r="AV39" s="4" t="s">
        <v>658</v>
      </c>
      <c r="AY39" s="1">
        <v>332.92</v>
      </c>
      <c r="BA39" s="4" t="s">
        <v>781</v>
      </c>
      <c r="BD39" s="1">
        <v>344.274</v>
      </c>
      <c r="BF39" s="4" t="s">
        <v>740</v>
      </c>
      <c r="BI39" s="1">
        <v>1903.95</v>
      </c>
      <c r="BK39" s="4" t="s">
        <v>699</v>
      </c>
      <c r="BN39" s="1">
        <v>4086.23</v>
      </c>
    </row>
    <row r="40" spans="1:66" x14ac:dyDescent="0.4">
      <c r="A40" s="4" t="s">
        <v>21</v>
      </c>
      <c r="D40" s="1">
        <v>21663</v>
      </c>
      <c r="F40" s="4" t="s">
        <v>119</v>
      </c>
      <c r="I40" s="1">
        <v>236.99100000000001</v>
      </c>
      <c r="K40" s="4" t="s">
        <v>222</v>
      </c>
      <c r="N40" s="1">
        <v>84749.7</v>
      </c>
      <c r="P40" s="4" t="s">
        <v>323</v>
      </c>
      <c r="S40" s="1">
        <v>189718</v>
      </c>
      <c r="U40" s="4" t="s">
        <v>428</v>
      </c>
      <c r="X40" s="5"/>
      <c r="Z40" s="4" t="s">
        <v>439</v>
      </c>
      <c r="AA40" s="4" t="s">
        <v>483</v>
      </c>
      <c r="AC40" s="5"/>
      <c r="AE40" s="4">
        <v>4</v>
      </c>
      <c r="AH40" s="1">
        <v>208.934</v>
      </c>
      <c r="AJ40" s="4">
        <v>24</v>
      </c>
      <c r="AM40" s="1">
        <v>237.41800000000001</v>
      </c>
      <c r="AQ40" s="4">
        <v>44</v>
      </c>
      <c r="AT40" s="1">
        <v>273.26299999999998</v>
      </c>
      <c r="AV40" s="4">
        <v>64</v>
      </c>
      <c r="AY40" s="1">
        <v>311.11799999999999</v>
      </c>
      <c r="BA40" s="4">
        <v>23</v>
      </c>
      <c r="BD40" s="1">
        <v>345.01799999999997</v>
      </c>
      <c r="BF40" s="4">
        <v>3</v>
      </c>
      <c r="BI40" s="1">
        <v>1915.33</v>
      </c>
      <c r="BK40" s="4">
        <v>84</v>
      </c>
      <c r="BN40" s="1">
        <v>4148.04</v>
      </c>
    </row>
    <row r="41" spans="1:66" x14ac:dyDescent="0.4">
      <c r="A41" s="4" t="s">
        <v>22</v>
      </c>
      <c r="D41" s="1">
        <v>21637.3</v>
      </c>
      <c r="F41" s="4" t="s">
        <v>120</v>
      </c>
      <c r="I41" s="1">
        <v>230.46</v>
      </c>
      <c r="K41" s="4" t="s">
        <v>223</v>
      </c>
      <c r="N41" s="1">
        <v>84463.7</v>
      </c>
      <c r="P41" s="4" t="s">
        <v>324</v>
      </c>
      <c r="S41" s="1">
        <v>190860</v>
      </c>
      <c r="U41" s="4" t="s">
        <v>429</v>
      </c>
      <c r="X41" s="1" t="s">
        <v>368</v>
      </c>
      <c r="Z41" s="4" t="s">
        <v>441</v>
      </c>
      <c r="AA41" s="4" t="s">
        <v>484</v>
      </c>
      <c r="AC41" s="1" t="s">
        <v>368</v>
      </c>
      <c r="AE41" s="4" t="s">
        <v>443</v>
      </c>
      <c r="AF41" s="4" t="s">
        <v>540</v>
      </c>
      <c r="AH41" s="1">
        <v>201.55699999999999</v>
      </c>
      <c r="AJ41" s="4" t="s">
        <v>443</v>
      </c>
      <c r="AK41" s="4" t="s">
        <v>581</v>
      </c>
      <c r="AM41" s="1">
        <v>238.94200000000001</v>
      </c>
      <c r="AQ41" s="4" t="s">
        <v>443</v>
      </c>
      <c r="AR41" s="4" t="s">
        <v>622</v>
      </c>
      <c r="AT41" s="1">
        <v>273.77199999999999</v>
      </c>
      <c r="AV41" s="4" t="s">
        <v>443</v>
      </c>
      <c r="AW41" s="4" t="s">
        <v>663</v>
      </c>
      <c r="AY41" s="1">
        <v>315.226</v>
      </c>
      <c r="BA41" s="4" t="s">
        <v>443</v>
      </c>
      <c r="BB41" s="4" t="s">
        <v>786</v>
      </c>
      <c r="BD41" s="1">
        <v>344.42399999999998</v>
      </c>
      <c r="BF41" s="4" t="s">
        <v>443</v>
      </c>
      <c r="BG41" s="4" t="s">
        <v>745</v>
      </c>
      <c r="BI41" s="1">
        <v>1955.2</v>
      </c>
      <c r="BK41" s="4" t="s">
        <v>443</v>
      </c>
      <c r="BL41" s="4" t="s">
        <v>704</v>
      </c>
      <c r="BN41" s="1">
        <v>4039.56</v>
      </c>
    </row>
    <row r="42" spans="1:66" x14ac:dyDescent="0.4">
      <c r="D42" s="1">
        <v>21725.3</v>
      </c>
      <c r="F42" s="4" t="s">
        <v>121</v>
      </c>
      <c r="I42" s="1">
        <v>236.80600000000001</v>
      </c>
      <c r="K42" s="4" t="s">
        <v>224</v>
      </c>
      <c r="N42" s="1">
        <v>84095.9</v>
      </c>
      <c r="P42" s="4" t="s">
        <v>325</v>
      </c>
      <c r="S42" s="1">
        <v>190205</v>
      </c>
      <c r="U42" s="4" t="s">
        <v>430</v>
      </c>
      <c r="X42" s="1">
        <v>1104140</v>
      </c>
      <c r="Z42" s="4" t="s">
        <v>443</v>
      </c>
      <c r="AA42" s="4" t="s">
        <v>485</v>
      </c>
      <c r="AC42" s="1">
        <v>1517410</v>
      </c>
      <c r="AE42" s="4" t="s">
        <v>445</v>
      </c>
      <c r="AF42" s="4" t="s">
        <v>541</v>
      </c>
      <c r="AH42" s="1">
        <v>205.173</v>
      </c>
      <c r="AJ42" s="4" t="s">
        <v>445</v>
      </c>
      <c r="AK42" s="4" t="s">
        <v>582</v>
      </c>
      <c r="AM42" s="1">
        <v>249.501</v>
      </c>
      <c r="AQ42" s="4" t="s">
        <v>445</v>
      </c>
      <c r="AR42" s="4" t="s">
        <v>623</v>
      </c>
      <c r="AT42" s="1">
        <v>272.67500000000001</v>
      </c>
      <c r="AV42" s="4" t="s">
        <v>445</v>
      </c>
      <c r="AW42" s="4" t="s">
        <v>664</v>
      </c>
      <c r="AY42" s="1">
        <v>310.584</v>
      </c>
      <c r="BA42" s="4" t="s">
        <v>445</v>
      </c>
      <c r="BB42" s="4" t="s">
        <v>787</v>
      </c>
      <c r="BD42" s="1">
        <v>356.649</v>
      </c>
      <c r="BF42" s="4" t="s">
        <v>445</v>
      </c>
      <c r="BG42" s="4" t="s">
        <v>746</v>
      </c>
      <c r="BI42" s="1">
        <v>1906.47</v>
      </c>
      <c r="BK42" s="4" t="s">
        <v>445</v>
      </c>
      <c r="BL42" s="4" t="s">
        <v>705</v>
      </c>
      <c r="BN42" s="1">
        <v>4056.84</v>
      </c>
    </row>
    <row r="43" spans="1:66" x14ac:dyDescent="0.4">
      <c r="A43" s="4" t="s">
        <v>12</v>
      </c>
      <c r="D43" s="1">
        <v>21501.599999999999</v>
      </c>
      <c r="F43" s="4" t="s">
        <v>122</v>
      </c>
      <c r="I43" s="1">
        <v>227.61500000000001</v>
      </c>
      <c r="K43" s="4" t="s">
        <v>225</v>
      </c>
      <c r="N43" s="1">
        <v>84991.4</v>
      </c>
      <c r="P43" s="4" t="s">
        <v>326</v>
      </c>
      <c r="S43" s="1">
        <v>189280</v>
      </c>
      <c r="U43" s="4" t="s">
        <v>431</v>
      </c>
      <c r="X43" s="1">
        <v>1098790</v>
      </c>
      <c r="Z43" s="4" t="s">
        <v>445</v>
      </c>
      <c r="AA43" s="4" t="s">
        <v>486</v>
      </c>
      <c r="AC43" s="1">
        <v>1518280</v>
      </c>
      <c r="AH43" s="1">
        <v>206.98</v>
      </c>
      <c r="AM43" s="1">
        <v>239.458</v>
      </c>
      <c r="AT43" s="1">
        <v>282.46800000000002</v>
      </c>
      <c r="AY43" s="1">
        <v>317.41500000000002</v>
      </c>
      <c r="BD43" s="1">
        <v>355.52600000000001</v>
      </c>
      <c r="BI43" s="1">
        <v>1904.59</v>
      </c>
      <c r="BN43" s="1">
        <v>3995.25</v>
      </c>
    </row>
    <row r="44" spans="1:66" x14ac:dyDescent="0.4">
      <c r="A44" s="4" t="s">
        <v>23</v>
      </c>
      <c r="D44" s="1">
        <v>21588.3</v>
      </c>
      <c r="I44" s="1">
        <v>232.755</v>
      </c>
      <c r="N44" s="1">
        <v>83704.100000000006</v>
      </c>
      <c r="S44" s="1">
        <v>189685</v>
      </c>
      <c r="X44" s="1">
        <v>1102550</v>
      </c>
      <c r="AC44" s="1">
        <v>1510790</v>
      </c>
      <c r="AE44" s="4" t="s">
        <v>535</v>
      </c>
      <c r="AH44" s="1">
        <v>206.64</v>
      </c>
      <c r="AJ44" s="4" t="s">
        <v>576</v>
      </c>
      <c r="AM44" s="1">
        <v>238.47</v>
      </c>
      <c r="AQ44" s="4" t="s">
        <v>617</v>
      </c>
      <c r="AT44" s="1">
        <v>290.10500000000002</v>
      </c>
      <c r="AV44" s="4" t="s">
        <v>658</v>
      </c>
      <c r="AY44" s="1">
        <v>313.57799999999997</v>
      </c>
      <c r="BA44" s="4" t="s">
        <v>781</v>
      </c>
      <c r="BD44" s="1">
        <v>345.85500000000002</v>
      </c>
      <c r="BF44" s="4" t="s">
        <v>740</v>
      </c>
      <c r="BI44" s="1">
        <v>1924.29</v>
      </c>
      <c r="BK44" s="4" t="s">
        <v>699</v>
      </c>
      <c r="BN44" s="1">
        <v>3989.49</v>
      </c>
    </row>
    <row r="45" spans="1:66" x14ac:dyDescent="0.4">
      <c r="A45" s="4" t="s">
        <v>24</v>
      </c>
      <c r="D45" s="1">
        <v>21794.2</v>
      </c>
      <c r="F45" s="4" t="s">
        <v>113</v>
      </c>
      <c r="I45" s="1">
        <v>236.83799999999999</v>
      </c>
      <c r="K45" s="4" t="s">
        <v>215</v>
      </c>
      <c r="N45" s="1">
        <v>84612</v>
      </c>
      <c r="P45" s="4" t="s">
        <v>316</v>
      </c>
      <c r="S45" s="1">
        <v>190367</v>
      </c>
      <c r="U45" s="4" t="s">
        <v>422</v>
      </c>
      <c r="X45" s="1">
        <v>1006710</v>
      </c>
      <c r="Z45" s="4" t="s">
        <v>476</v>
      </c>
      <c r="AC45" s="1">
        <v>1536500</v>
      </c>
      <c r="AE45" s="4">
        <v>5</v>
      </c>
      <c r="AH45" s="1">
        <v>203.39</v>
      </c>
      <c r="AJ45" s="4">
        <v>25</v>
      </c>
      <c r="AM45" s="1">
        <v>239.702</v>
      </c>
      <c r="AQ45" s="4">
        <v>45</v>
      </c>
      <c r="AT45" s="1">
        <v>286.03500000000003</v>
      </c>
      <c r="AV45" s="4">
        <v>65</v>
      </c>
      <c r="AY45" s="1">
        <v>307.19</v>
      </c>
      <c r="BA45" s="4">
        <v>24</v>
      </c>
      <c r="BD45" s="1">
        <v>346.154</v>
      </c>
      <c r="BF45" s="4">
        <v>4</v>
      </c>
      <c r="BI45" s="1">
        <v>1966.82</v>
      </c>
      <c r="BK45" s="4">
        <v>85</v>
      </c>
      <c r="BN45" s="1">
        <v>3983.71</v>
      </c>
    </row>
    <row r="46" spans="1:66" x14ac:dyDescent="0.4">
      <c r="A46" s="4" t="s">
        <v>25</v>
      </c>
      <c r="D46" s="1">
        <v>21692.1</v>
      </c>
      <c r="F46" s="4">
        <v>2</v>
      </c>
      <c r="I46" s="1">
        <v>235.53</v>
      </c>
      <c r="K46" s="4">
        <v>3</v>
      </c>
      <c r="N46" s="1">
        <v>83835.7</v>
      </c>
      <c r="P46" s="4">
        <v>3</v>
      </c>
      <c r="S46" s="1">
        <v>189136</v>
      </c>
      <c r="U46" s="4">
        <v>3</v>
      </c>
      <c r="X46" s="1">
        <v>1005680</v>
      </c>
      <c r="Z46" s="4">
        <v>6</v>
      </c>
      <c r="AC46" s="1">
        <v>1536990</v>
      </c>
      <c r="AE46" s="4" t="s">
        <v>443</v>
      </c>
      <c r="AF46" s="4" t="s">
        <v>542</v>
      </c>
      <c r="AH46" s="1">
        <v>202.13399999999999</v>
      </c>
      <c r="AJ46" s="4" t="s">
        <v>443</v>
      </c>
      <c r="AK46" s="4" t="s">
        <v>583</v>
      </c>
      <c r="AM46" s="1">
        <v>239.05699999999999</v>
      </c>
      <c r="AQ46" s="4" t="s">
        <v>443</v>
      </c>
      <c r="AR46" s="4" t="s">
        <v>624</v>
      </c>
      <c r="AT46" s="1">
        <v>286.71899999999999</v>
      </c>
      <c r="AV46" s="4" t="s">
        <v>443</v>
      </c>
      <c r="AW46" s="4" t="s">
        <v>665</v>
      </c>
      <c r="AY46" s="1">
        <v>307.17599999999999</v>
      </c>
      <c r="BA46" s="4" t="s">
        <v>443</v>
      </c>
      <c r="BB46" s="4" t="s">
        <v>788</v>
      </c>
      <c r="BD46" s="1">
        <v>343.97899999999998</v>
      </c>
      <c r="BF46" s="4" t="s">
        <v>443</v>
      </c>
      <c r="BG46" s="4" t="s">
        <v>747</v>
      </c>
      <c r="BI46" s="1">
        <v>1934.3</v>
      </c>
      <c r="BK46" s="4" t="s">
        <v>443</v>
      </c>
      <c r="BL46" s="4" t="s">
        <v>706</v>
      </c>
      <c r="BN46" s="1">
        <v>3985.83</v>
      </c>
    </row>
    <row r="47" spans="1:66" x14ac:dyDescent="0.4">
      <c r="A47" s="4" t="s">
        <v>26</v>
      </c>
      <c r="D47" s="1">
        <v>21709.599999999999</v>
      </c>
      <c r="F47" s="4" t="s">
        <v>123</v>
      </c>
      <c r="I47" s="1">
        <v>232.899</v>
      </c>
      <c r="K47" s="4" t="s">
        <v>226</v>
      </c>
      <c r="N47" s="1">
        <v>83943.3</v>
      </c>
      <c r="P47" s="4" t="s">
        <v>327</v>
      </c>
      <c r="S47" s="1">
        <v>189697</v>
      </c>
      <c r="U47" s="4" t="s">
        <v>432</v>
      </c>
      <c r="X47" s="1">
        <v>1005210</v>
      </c>
      <c r="Z47" s="4" t="s">
        <v>437</v>
      </c>
      <c r="AA47" s="4" t="s">
        <v>496</v>
      </c>
      <c r="AC47" s="1">
        <v>1542620</v>
      </c>
      <c r="AE47" s="4" t="s">
        <v>445</v>
      </c>
      <c r="AF47" s="4" t="s">
        <v>543</v>
      </c>
      <c r="AH47" s="1">
        <v>215.03700000000001</v>
      </c>
      <c r="AJ47" s="4" t="s">
        <v>445</v>
      </c>
      <c r="AK47" s="4" t="s">
        <v>584</v>
      </c>
      <c r="AM47" s="1">
        <v>238.38900000000001</v>
      </c>
      <c r="AQ47" s="4" t="s">
        <v>445</v>
      </c>
      <c r="AR47" s="4" t="s">
        <v>625</v>
      </c>
      <c r="AT47" s="1">
        <v>272.61200000000002</v>
      </c>
      <c r="AV47" s="4" t="s">
        <v>445</v>
      </c>
      <c r="AW47" s="4" t="s">
        <v>666</v>
      </c>
      <c r="AY47" s="1">
        <v>309.16300000000001</v>
      </c>
      <c r="BA47" s="4" t="s">
        <v>445</v>
      </c>
      <c r="BB47" s="4" t="s">
        <v>789</v>
      </c>
      <c r="BD47" s="1">
        <v>344.61599999999999</v>
      </c>
      <c r="BF47" s="4" t="s">
        <v>445</v>
      </c>
      <c r="BG47" s="4" t="s">
        <v>748</v>
      </c>
      <c r="BI47" s="1">
        <v>1967.24</v>
      </c>
      <c r="BK47" s="4" t="s">
        <v>445</v>
      </c>
      <c r="BL47" s="4" t="s">
        <v>707</v>
      </c>
      <c r="BN47" s="1">
        <v>4006.82</v>
      </c>
    </row>
    <row r="48" spans="1:66" x14ac:dyDescent="0.4">
      <c r="A48" s="4" t="s">
        <v>27</v>
      </c>
      <c r="D48" s="1">
        <v>21431.1</v>
      </c>
      <c r="F48" s="4" t="s">
        <v>124</v>
      </c>
      <c r="I48" s="1">
        <v>240.34899999999999</v>
      </c>
      <c r="K48" s="4" t="s">
        <v>227</v>
      </c>
      <c r="N48" s="1">
        <v>84256.7</v>
      </c>
      <c r="P48" s="4" t="s">
        <v>328</v>
      </c>
      <c r="S48" s="1">
        <v>189716</v>
      </c>
      <c r="U48" s="4" t="s">
        <v>433</v>
      </c>
      <c r="X48" s="1">
        <v>1003340</v>
      </c>
      <c r="Z48" s="4" t="s">
        <v>439</v>
      </c>
      <c r="AA48" s="4" t="s">
        <v>497</v>
      </c>
      <c r="AC48" s="1">
        <v>1538990</v>
      </c>
      <c r="AH48" s="1">
        <v>201.96799999999999</v>
      </c>
      <c r="AM48" s="1">
        <v>238.851</v>
      </c>
      <c r="AT48" s="1">
        <v>273.61</v>
      </c>
      <c r="AY48" s="1">
        <v>318.505</v>
      </c>
      <c r="BD48" s="1">
        <v>366.53300000000002</v>
      </c>
      <c r="BI48" s="1">
        <v>1930.19</v>
      </c>
      <c r="BN48" s="1">
        <v>4009.18</v>
      </c>
    </row>
    <row r="49" spans="1:66" x14ac:dyDescent="0.4">
      <c r="D49" s="1">
        <v>21355.7</v>
      </c>
      <c r="F49" s="4" t="s">
        <v>125</v>
      </c>
      <c r="I49" s="1">
        <v>236.857</v>
      </c>
      <c r="K49" s="4" t="s">
        <v>228</v>
      </c>
      <c r="N49" s="1">
        <v>84348.1</v>
      </c>
      <c r="P49" s="4" t="s">
        <v>329</v>
      </c>
      <c r="S49" s="1">
        <v>190750</v>
      </c>
      <c r="U49" s="4" t="s">
        <v>434</v>
      </c>
      <c r="X49" s="1">
        <v>1003070</v>
      </c>
      <c r="Z49" s="4" t="s">
        <v>441</v>
      </c>
      <c r="AA49" s="4" t="s">
        <v>498</v>
      </c>
      <c r="AC49" s="1">
        <v>1534250</v>
      </c>
      <c r="AE49" s="4" t="s">
        <v>535</v>
      </c>
      <c r="AH49" s="1">
        <v>200.78399999999999</v>
      </c>
      <c r="AJ49" s="4" t="s">
        <v>576</v>
      </c>
      <c r="AM49" s="1">
        <v>237.51</v>
      </c>
      <c r="AQ49" s="4" t="s">
        <v>617</v>
      </c>
      <c r="AT49" s="1">
        <v>277.036</v>
      </c>
      <c r="AV49" s="4" t="s">
        <v>658</v>
      </c>
      <c r="AY49" s="1">
        <v>311.01799999999997</v>
      </c>
      <c r="BA49" s="4" t="s">
        <v>781</v>
      </c>
      <c r="BD49" s="1">
        <v>343.50700000000001</v>
      </c>
      <c r="BF49" s="4" t="s">
        <v>740</v>
      </c>
      <c r="BI49" s="1">
        <v>2049.9</v>
      </c>
      <c r="BK49" s="4" t="s">
        <v>699</v>
      </c>
      <c r="BN49" s="1">
        <v>4010.48</v>
      </c>
    </row>
    <row r="50" spans="1:66" x14ac:dyDescent="0.4">
      <c r="A50" s="4" t="s">
        <v>12</v>
      </c>
      <c r="D50" s="5"/>
      <c r="F50" s="4" t="s">
        <v>126</v>
      </c>
      <c r="I50" s="5"/>
      <c r="K50" s="4" t="s">
        <v>229</v>
      </c>
      <c r="N50" s="5"/>
      <c r="P50" s="4" t="s">
        <v>330</v>
      </c>
      <c r="S50" s="5"/>
      <c r="U50" s="4" t="s">
        <v>435</v>
      </c>
      <c r="X50" s="1">
        <v>969611</v>
      </c>
      <c r="Z50" s="4" t="s">
        <v>443</v>
      </c>
      <c r="AA50" s="4" t="s">
        <v>499</v>
      </c>
      <c r="AC50" s="1">
        <v>1536940</v>
      </c>
      <c r="AE50" s="4">
        <v>6</v>
      </c>
      <c r="AH50" s="1">
        <v>229.93100000000001</v>
      </c>
      <c r="AJ50" s="4">
        <v>26</v>
      </c>
      <c r="AM50" s="1">
        <v>237.47300000000001</v>
      </c>
      <c r="AQ50" s="4">
        <v>46</v>
      </c>
      <c r="AT50" s="1">
        <v>272.26100000000002</v>
      </c>
      <c r="AV50" s="4">
        <v>66</v>
      </c>
      <c r="AY50" s="1">
        <v>394.19099999999997</v>
      </c>
      <c r="BA50" s="4">
        <v>25</v>
      </c>
      <c r="BD50" s="1">
        <v>350.512</v>
      </c>
      <c r="BF50" s="4">
        <v>5</v>
      </c>
      <c r="BI50" s="1">
        <v>2099.44</v>
      </c>
      <c r="BK50" s="4">
        <v>86</v>
      </c>
      <c r="BN50" s="1">
        <v>4159.8</v>
      </c>
    </row>
    <row r="51" spans="1:66" x14ac:dyDescent="0.4">
      <c r="A51" s="4" t="s">
        <v>28</v>
      </c>
      <c r="D51" s="1" t="s">
        <v>368</v>
      </c>
      <c r="F51" s="4" t="s">
        <v>127</v>
      </c>
      <c r="I51" s="1" t="s">
        <v>368</v>
      </c>
      <c r="K51" s="4" t="s">
        <v>230</v>
      </c>
      <c r="N51" s="1" t="s">
        <v>368</v>
      </c>
      <c r="P51" s="4" t="s">
        <v>331</v>
      </c>
      <c r="S51" s="1" t="s">
        <v>368</v>
      </c>
      <c r="U51" s="4" t="s">
        <v>436</v>
      </c>
      <c r="X51" s="1">
        <v>969771</v>
      </c>
      <c r="Z51" s="4" t="s">
        <v>445</v>
      </c>
      <c r="AA51" s="4" t="s">
        <v>500</v>
      </c>
      <c r="AC51" s="1">
        <v>1538930</v>
      </c>
      <c r="AE51" s="4" t="s">
        <v>443</v>
      </c>
      <c r="AF51" s="4" t="s">
        <v>544</v>
      </c>
      <c r="AH51" s="1">
        <v>211.24100000000001</v>
      </c>
      <c r="AJ51" s="4" t="s">
        <v>443</v>
      </c>
      <c r="AK51" s="4" t="s">
        <v>585</v>
      </c>
      <c r="AM51" s="1">
        <v>239.21600000000001</v>
      </c>
      <c r="AQ51" s="4" t="s">
        <v>443</v>
      </c>
      <c r="AR51" s="4" t="s">
        <v>626</v>
      </c>
      <c r="AT51" s="1">
        <v>274.75299999999999</v>
      </c>
      <c r="AV51" s="4" t="s">
        <v>443</v>
      </c>
      <c r="AW51" s="4" t="s">
        <v>667</v>
      </c>
      <c r="AY51" s="1">
        <v>309.50900000000001</v>
      </c>
      <c r="BA51" s="4" t="s">
        <v>443</v>
      </c>
      <c r="BB51" s="4" t="s">
        <v>790</v>
      </c>
      <c r="BD51" s="1">
        <v>343.78399999999999</v>
      </c>
      <c r="BF51" s="4" t="s">
        <v>443</v>
      </c>
      <c r="BG51" s="4" t="s">
        <v>749</v>
      </c>
      <c r="BI51" s="1">
        <v>2072.19</v>
      </c>
      <c r="BK51" s="4" t="s">
        <v>443</v>
      </c>
      <c r="BL51" s="4" t="s">
        <v>708</v>
      </c>
      <c r="BN51" s="1">
        <v>3983.74</v>
      </c>
    </row>
    <row r="52" spans="1:66" x14ac:dyDescent="0.4">
      <c r="A52" s="4" t="s">
        <v>29</v>
      </c>
      <c r="D52" s="1">
        <v>65473.5</v>
      </c>
      <c r="I52" s="1">
        <v>501.54399999999998</v>
      </c>
      <c r="N52" s="1">
        <v>271886</v>
      </c>
      <c r="S52" s="1">
        <v>574159</v>
      </c>
      <c r="X52" s="5"/>
      <c r="AC52" s="5"/>
      <c r="AE52" s="4" t="s">
        <v>445</v>
      </c>
      <c r="AF52" s="4" t="s">
        <v>545</v>
      </c>
      <c r="AH52" s="5"/>
      <c r="AJ52" s="4" t="s">
        <v>445</v>
      </c>
      <c r="AK52" s="4" t="s">
        <v>586</v>
      </c>
      <c r="AM52" s="5"/>
      <c r="AQ52" s="4" t="s">
        <v>445</v>
      </c>
      <c r="AR52" s="4" t="s">
        <v>627</v>
      </c>
      <c r="AV52" s="4" t="s">
        <v>445</v>
      </c>
      <c r="AW52" s="4" t="s">
        <v>668</v>
      </c>
      <c r="BA52" s="4" t="s">
        <v>445</v>
      </c>
      <c r="BB52" s="4" t="s">
        <v>791</v>
      </c>
      <c r="BF52" s="4" t="s">
        <v>445</v>
      </c>
      <c r="BG52" s="4" t="s">
        <v>750</v>
      </c>
      <c r="BK52" s="4" t="s">
        <v>445</v>
      </c>
      <c r="BL52" s="4" t="s">
        <v>709</v>
      </c>
    </row>
    <row r="53" spans="1:66" x14ac:dyDescent="0.4">
      <c r="A53" s="4" t="s">
        <v>30</v>
      </c>
      <c r="D53" s="1">
        <v>65675.399999999994</v>
      </c>
      <c r="F53" s="4" t="s">
        <v>113</v>
      </c>
      <c r="I53" s="1">
        <v>498.31099999999998</v>
      </c>
      <c r="K53" s="4" t="s">
        <v>215</v>
      </c>
      <c r="N53" s="1">
        <v>272023</v>
      </c>
      <c r="P53" s="4" t="s">
        <v>316</v>
      </c>
      <c r="S53" s="1">
        <v>576703</v>
      </c>
      <c r="U53" s="4" t="s">
        <v>422</v>
      </c>
      <c r="X53" s="1" t="s">
        <v>369</v>
      </c>
      <c r="Z53" s="4" t="s">
        <v>476</v>
      </c>
      <c r="AC53" s="1" t="s">
        <v>369</v>
      </c>
      <c r="AH53" s="1" t="s">
        <v>371</v>
      </c>
      <c r="AM53" s="1" t="s">
        <v>371</v>
      </c>
      <c r="AT53" s="1" t="s">
        <v>371</v>
      </c>
      <c r="AY53" s="1" t="s">
        <v>371</v>
      </c>
      <c r="BD53" s="1" t="s">
        <v>371</v>
      </c>
      <c r="BI53" s="1" t="s">
        <v>371</v>
      </c>
      <c r="BN53" s="1" t="s">
        <v>371</v>
      </c>
    </row>
    <row r="54" spans="1:66" x14ac:dyDescent="0.4">
      <c r="A54" s="4" t="s">
        <v>31</v>
      </c>
      <c r="D54" s="1">
        <v>65066.1</v>
      </c>
      <c r="F54" s="4">
        <v>3</v>
      </c>
      <c r="I54" s="1">
        <v>488.238</v>
      </c>
      <c r="K54" s="4">
        <v>4</v>
      </c>
      <c r="N54" s="1">
        <v>273144</v>
      </c>
      <c r="P54" s="4">
        <v>4</v>
      </c>
      <c r="S54" s="1">
        <v>575005</v>
      </c>
      <c r="U54" s="4">
        <v>2</v>
      </c>
      <c r="X54" s="1">
        <v>278939</v>
      </c>
      <c r="Z54" s="4">
        <v>2</v>
      </c>
      <c r="AC54" s="1">
        <v>355462</v>
      </c>
      <c r="AE54" s="4" t="s">
        <v>535</v>
      </c>
      <c r="AH54" s="1">
        <v>176.577</v>
      </c>
      <c r="AJ54" s="4" t="s">
        <v>576</v>
      </c>
      <c r="AM54" s="1">
        <v>205.946</v>
      </c>
      <c r="AQ54" s="4" t="s">
        <v>617</v>
      </c>
      <c r="AT54" s="1">
        <v>268.83100000000002</v>
      </c>
      <c r="AV54" s="4" t="s">
        <v>658</v>
      </c>
      <c r="AY54" s="1">
        <v>266.03199999999998</v>
      </c>
      <c r="BA54" s="4" t="s">
        <v>781</v>
      </c>
      <c r="BD54" s="1">
        <v>367.17200000000003</v>
      </c>
      <c r="BF54" s="4" t="s">
        <v>740</v>
      </c>
      <c r="BI54" s="1">
        <v>1795.1</v>
      </c>
      <c r="BK54" s="4" t="s">
        <v>699</v>
      </c>
      <c r="BN54" s="1">
        <v>3545.81</v>
      </c>
    </row>
    <row r="55" spans="1:66" x14ac:dyDescent="0.4">
      <c r="A55" s="4" t="s">
        <v>32</v>
      </c>
      <c r="D55" s="1">
        <v>65581.899999999994</v>
      </c>
      <c r="F55" s="4" t="s">
        <v>128</v>
      </c>
      <c r="I55" s="1">
        <v>503.52</v>
      </c>
      <c r="K55" s="4" t="s">
        <v>231</v>
      </c>
      <c r="N55" s="1">
        <v>271655</v>
      </c>
      <c r="P55" s="4" t="s">
        <v>332</v>
      </c>
      <c r="S55" s="1">
        <v>573759</v>
      </c>
      <c r="U55" s="4" t="s">
        <v>437</v>
      </c>
      <c r="V55" s="4" t="s">
        <v>438</v>
      </c>
      <c r="X55" s="1">
        <v>275013</v>
      </c>
      <c r="Z55" s="4" t="s">
        <v>437</v>
      </c>
      <c r="AA55" s="4" t="s">
        <v>501</v>
      </c>
      <c r="AC55" s="1">
        <v>354767</v>
      </c>
      <c r="AE55" s="4">
        <v>7</v>
      </c>
      <c r="AH55" s="1">
        <v>188.12899999999999</v>
      </c>
      <c r="AJ55" s="4">
        <v>27</v>
      </c>
      <c r="AM55" s="1">
        <v>205.74799999999999</v>
      </c>
      <c r="AQ55" s="4">
        <v>47</v>
      </c>
      <c r="AT55" s="1">
        <v>243.87</v>
      </c>
      <c r="AV55" s="4">
        <v>67</v>
      </c>
      <c r="AY55" s="1">
        <v>272.47300000000001</v>
      </c>
      <c r="BA55" s="4">
        <v>26</v>
      </c>
      <c r="BD55" s="1">
        <v>333.49599999999998</v>
      </c>
      <c r="BF55" s="4">
        <v>6</v>
      </c>
      <c r="BI55" s="1">
        <v>1864.14</v>
      </c>
      <c r="BK55" s="4">
        <v>87</v>
      </c>
      <c r="BN55" s="1">
        <v>3547.66</v>
      </c>
    </row>
    <row r="56" spans="1:66" x14ac:dyDescent="0.4">
      <c r="D56" s="1">
        <v>66862.8</v>
      </c>
      <c r="F56" s="4" t="s">
        <v>129</v>
      </c>
      <c r="I56" s="1">
        <v>494.96100000000001</v>
      </c>
      <c r="K56" s="4" t="s">
        <v>232</v>
      </c>
      <c r="N56" s="1">
        <v>272974</v>
      </c>
      <c r="P56" s="4" t="s">
        <v>333</v>
      </c>
      <c r="S56" s="1">
        <v>572780</v>
      </c>
      <c r="U56" s="4" t="s">
        <v>439</v>
      </c>
      <c r="V56" s="4" t="s">
        <v>440</v>
      </c>
      <c r="X56" s="1">
        <v>281784</v>
      </c>
      <c r="Z56" s="4" t="s">
        <v>439</v>
      </c>
      <c r="AA56" s="4" t="s">
        <v>502</v>
      </c>
      <c r="AC56" s="1">
        <v>352416</v>
      </c>
      <c r="AE56" s="4" t="s">
        <v>443</v>
      </c>
      <c r="AF56" s="4" t="s">
        <v>546</v>
      </c>
      <c r="AH56" s="1">
        <v>173.11500000000001</v>
      </c>
      <c r="AJ56" s="4" t="s">
        <v>443</v>
      </c>
      <c r="AK56" s="4" t="s">
        <v>587</v>
      </c>
      <c r="AM56" s="1">
        <v>227.07499999999999</v>
      </c>
      <c r="AQ56" s="4" t="s">
        <v>443</v>
      </c>
      <c r="AR56" s="4" t="s">
        <v>628</v>
      </c>
      <c r="AT56" s="1">
        <v>241.54300000000001</v>
      </c>
      <c r="AV56" s="4" t="s">
        <v>443</v>
      </c>
      <c r="AW56" s="4" t="s">
        <v>669</v>
      </c>
      <c r="AY56" s="1">
        <v>279.137</v>
      </c>
      <c r="BA56" s="4" t="s">
        <v>443</v>
      </c>
      <c r="BB56" s="4" t="s">
        <v>792</v>
      </c>
      <c r="BD56" s="1">
        <v>335.93</v>
      </c>
      <c r="BF56" s="4" t="s">
        <v>443</v>
      </c>
      <c r="BG56" s="4" t="s">
        <v>751</v>
      </c>
      <c r="BI56" s="1">
        <v>1802.77</v>
      </c>
      <c r="BK56" s="4" t="s">
        <v>443</v>
      </c>
      <c r="BL56" s="4" t="s">
        <v>710</v>
      </c>
      <c r="BN56" s="1">
        <v>3505.65</v>
      </c>
    </row>
    <row r="57" spans="1:66" x14ac:dyDescent="0.4">
      <c r="A57" s="4" t="s">
        <v>12</v>
      </c>
      <c r="D57" s="1">
        <v>66009.5</v>
      </c>
      <c r="F57" s="4" t="s">
        <v>130</v>
      </c>
      <c r="I57" s="1">
        <v>495.149</v>
      </c>
      <c r="K57" s="4" t="s">
        <v>233</v>
      </c>
      <c r="N57" s="1">
        <v>271231</v>
      </c>
      <c r="P57" s="4" t="s">
        <v>334</v>
      </c>
      <c r="S57" s="1">
        <v>573926</v>
      </c>
      <c r="U57" s="4" t="s">
        <v>441</v>
      </c>
      <c r="V57" s="4" t="s">
        <v>442</v>
      </c>
      <c r="X57" s="1">
        <v>222250</v>
      </c>
      <c r="Z57" s="4" t="s">
        <v>441</v>
      </c>
      <c r="AA57" s="4" t="s">
        <v>503</v>
      </c>
      <c r="AC57" s="1">
        <v>376303</v>
      </c>
      <c r="AE57" s="4" t="s">
        <v>445</v>
      </c>
      <c r="AF57" s="4" t="s">
        <v>547</v>
      </c>
      <c r="AH57" s="1">
        <v>180.53200000000001</v>
      </c>
      <c r="AJ57" s="4" t="s">
        <v>445</v>
      </c>
      <c r="AK57" s="4" t="s">
        <v>588</v>
      </c>
      <c r="AM57" s="1">
        <v>202.459</v>
      </c>
      <c r="AQ57" s="4" t="s">
        <v>445</v>
      </c>
      <c r="AR57" s="4" t="s">
        <v>629</v>
      </c>
      <c r="AT57" s="1">
        <v>237.05099999999999</v>
      </c>
      <c r="AV57" s="4" t="s">
        <v>445</v>
      </c>
      <c r="AW57" s="4" t="s">
        <v>670</v>
      </c>
      <c r="AY57" s="1">
        <v>273.88499999999999</v>
      </c>
      <c r="BA57" s="4" t="s">
        <v>445</v>
      </c>
      <c r="BB57" s="4" t="s">
        <v>793</v>
      </c>
      <c r="BD57" s="1">
        <v>331.90899999999999</v>
      </c>
      <c r="BF57" s="4" t="s">
        <v>445</v>
      </c>
      <c r="BG57" s="4" t="s">
        <v>752</v>
      </c>
      <c r="BI57" s="1">
        <v>1878.29</v>
      </c>
      <c r="BK57" s="4" t="s">
        <v>445</v>
      </c>
      <c r="BL57" s="4" t="s">
        <v>711</v>
      </c>
      <c r="BN57" s="1">
        <v>3522.51</v>
      </c>
    </row>
    <row r="58" spans="1:66" x14ac:dyDescent="0.4">
      <c r="A58" s="4" t="s">
        <v>33</v>
      </c>
      <c r="D58" s="1">
        <v>65559.199999999997</v>
      </c>
      <c r="F58" s="4" t="s">
        <v>131</v>
      </c>
      <c r="I58" s="1">
        <v>498.291</v>
      </c>
      <c r="K58" s="4" t="s">
        <v>234</v>
      </c>
      <c r="N58" s="1">
        <v>273076</v>
      </c>
      <c r="P58" s="4" t="s">
        <v>335</v>
      </c>
      <c r="S58" s="1">
        <v>576645</v>
      </c>
      <c r="U58" s="4" t="s">
        <v>443</v>
      </c>
      <c r="V58" s="4" t="s">
        <v>444</v>
      </c>
      <c r="X58" s="1">
        <v>221516</v>
      </c>
      <c r="Z58" s="4" t="s">
        <v>443</v>
      </c>
      <c r="AA58" s="4" t="s">
        <v>504</v>
      </c>
      <c r="AC58" s="1">
        <v>378983</v>
      </c>
      <c r="AH58" s="1">
        <v>175.68299999999999</v>
      </c>
      <c r="AM58" s="1">
        <v>211.18199999999999</v>
      </c>
      <c r="AT58" s="1">
        <v>239.30500000000001</v>
      </c>
      <c r="AY58" s="1">
        <v>271.666</v>
      </c>
      <c r="BD58" s="1">
        <v>326.28800000000001</v>
      </c>
      <c r="BI58" s="1">
        <v>1780.23</v>
      </c>
      <c r="BN58" s="1">
        <v>3477.67</v>
      </c>
    </row>
    <row r="59" spans="1:66" x14ac:dyDescent="0.4">
      <c r="A59" s="4" t="s">
        <v>34</v>
      </c>
      <c r="D59" s="1">
        <v>65359.1</v>
      </c>
      <c r="F59" s="4" t="s">
        <v>132</v>
      </c>
      <c r="I59" s="1">
        <v>495.017</v>
      </c>
      <c r="K59" s="4" t="s">
        <v>235</v>
      </c>
      <c r="N59" s="1">
        <v>272248</v>
      </c>
      <c r="P59" s="4" t="s">
        <v>336</v>
      </c>
      <c r="S59" s="1">
        <v>573641</v>
      </c>
      <c r="U59" s="4" t="s">
        <v>445</v>
      </c>
      <c r="V59" s="4" t="s">
        <v>446</v>
      </c>
      <c r="X59" s="1">
        <v>222378</v>
      </c>
      <c r="Z59" s="4" t="s">
        <v>445</v>
      </c>
      <c r="AA59" s="4" t="s">
        <v>505</v>
      </c>
      <c r="AC59" s="1">
        <v>379279</v>
      </c>
      <c r="AE59" s="4" t="s">
        <v>535</v>
      </c>
      <c r="AH59" s="1">
        <v>180.196</v>
      </c>
      <c r="AJ59" s="4" t="s">
        <v>576</v>
      </c>
      <c r="AM59" s="1">
        <v>217.03800000000001</v>
      </c>
      <c r="AQ59" s="4" t="s">
        <v>617</v>
      </c>
      <c r="AT59" s="1">
        <v>230.352</v>
      </c>
      <c r="AV59" s="4" t="s">
        <v>658</v>
      </c>
      <c r="AY59" s="1">
        <v>267.92500000000001</v>
      </c>
      <c r="BA59" s="4" t="s">
        <v>781</v>
      </c>
      <c r="BD59" s="1">
        <v>330.14699999999999</v>
      </c>
      <c r="BF59" s="4" t="s">
        <v>740</v>
      </c>
      <c r="BI59" s="1">
        <v>1848.47</v>
      </c>
      <c r="BK59" s="4" t="s">
        <v>699</v>
      </c>
      <c r="BN59" s="1">
        <v>3546.06</v>
      </c>
    </row>
    <row r="60" spans="1:66" x14ac:dyDescent="0.4">
      <c r="A60" s="4" t="s">
        <v>35</v>
      </c>
      <c r="D60" s="1">
        <v>66772.899999999994</v>
      </c>
      <c r="I60" s="1">
        <v>497.24099999999999</v>
      </c>
      <c r="N60" s="1">
        <v>270537</v>
      </c>
      <c r="S60" s="1">
        <v>574322</v>
      </c>
      <c r="X60" s="1">
        <v>222240</v>
      </c>
      <c r="AC60" s="1">
        <v>377699</v>
      </c>
      <c r="AE60" s="4">
        <v>8</v>
      </c>
      <c r="AH60" s="1">
        <v>176.84399999999999</v>
      </c>
      <c r="AJ60" s="4">
        <v>28</v>
      </c>
      <c r="AM60" s="1">
        <v>212.935</v>
      </c>
      <c r="AQ60" s="4">
        <v>48</v>
      </c>
      <c r="AT60" s="1">
        <v>234.595</v>
      </c>
      <c r="AV60" s="4">
        <v>68</v>
      </c>
      <c r="AY60" s="1">
        <v>272.80799999999999</v>
      </c>
      <c r="BA60" s="4">
        <v>27</v>
      </c>
      <c r="BD60" s="1">
        <v>336.20499999999998</v>
      </c>
      <c r="BF60" s="4">
        <v>7</v>
      </c>
      <c r="BI60" s="1">
        <v>1821.19</v>
      </c>
      <c r="BK60" s="4">
        <v>88</v>
      </c>
      <c r="BN60" s="1">
        <v>3658.33</v>
      </c>
    </row>
    <row r="61" spans="1:66" x14ac:dyDescent="0.4">
      <c r="A61" s="4" t="s">
        <v>36</v>
      </c>
      <c r="D61" s="1">
        <v>65305</v>
      </c>
      <c r="F61" s="4" t="s">
        <v>113</v>
      </c>
      <c r="I61" s="1">
        <v>478.91800000000001</v>
      </c>
      <c r="K61" s="4" t="s">
        <v>215</v>
      </c>
      <c r="N61" s="1">
        <v>270587</v>
      </c>
      <c r="P61" s="4" t="s">
        <v>316</v>
      </c>
      <c r="S61" s="1">
        <v>572270</v>
      </c>
      <c r="U61" s="4" t="s">
        <v>422</v>
      </c>
      <c r="X61" s="1">
        <v>222074</v>
      </c>
      <c r="Z61" s="4" t="s">
        <v>476</v>
      </c>
      <c r="AC61" s="1">
        <v>376462</v>
      </c>
      <c r="AE61" s="4" t="s">
        <v>443</v>
      </c>
      <c r="AF61" s="4" t="s">
        <v>548</v>
      </c>
      <c r="AH61" s="1">
        <v>197.44399999999999</v>
      </c>
      <c r="AJ61" s="4" t="s">
        <v>443</v>
      </c>
      <c r="AK61" s="4" t="s">
        <v>589</v>
      </c>
      <c r="AM61" s="1">
        <v>211.88800000000001</v>
      </c>
      <c r="AQ61" s="4" t="s">
        <v>443</v>
      </c>
      <c r="AR61" s="4" t="s">
        <v>630</v>
      </c>
      <c r="AT61" s="1">
        <v>235.328</v>
      </c>
      <c r="AV61" s="4" t="s">
        <v>443</v>
      </c>
      <c r="AW61" s="4" t="s">
        <v>671</v>
      </c>
      <c r="AY61" s="1">
        <v>275.29300000000001</v>
      </c>
      <c r="BA61" s="4" t="s">
        <v>443</v>
      </c>
      <c r="BB61" s="4" t="s">
        <v>794</v>
      </c>
      <c r="BD61" s="1">
        <v>334.83300000000003</v>
      </c>
      <c r="BF61" s="4" t="s">
        <v>443</v>
      </c>
      <c r="BG61" s="4" t="s">
        <v>753</v>
      </c>
      <c r="BI61" s="1">
        <v>1829.75</v>
      </c>
      <c r="BK61" s="4" t="s">
        <v>443</v>
      </c>
      <c r="BL61" s="4" t="s">
        <v>712</v>
      </c>
      <c r="BN61" s="1">
        <v>3685.21</v>
      </c>
    </row>
    <row r="62" spans="1:66" x14ac:dyDescent="0.4">
      <c r="A62" s="4" t="s">
        <v>37</v>
      </c>
      <c r="D62" s="1">
        <v>64922.1</v>
      </c>
      <c r="F62" s="4">
        <v>4</v>
      </c>
      <c r="I62" s="1">
        <v>480.55599999999998</v>
      </c>
      <c r="K62" s="4">
        <v>5</v>
      </c>
      <c r="N62" s="1">
        <v>248323</v>
      </c>
      <c r="P62" s="4">
        <v>5</v>
      </c>
      <c r="S62" s="1">
        <v>554830</v>
      </c>
      <c r="U62" s="4">
        <v>3</v>
      </c>
      <c r="X62" s="1">
        <v>225753</v>
      </c>
      <c r="Z62" s="4">
        <v>3</v>
      </c>
      <c r="AC62" s="1">
        <v>377502</v>
      </c>
      <c r="AE62" s="4" t="s">
        <v>445</v>
      </c>
      <c r="AF62" s="4" t="s">
        <v>549</v>
      </c>
      <c r="AH62" s="1">
        <v>180.07599999999999</v>
      </c>
      <c r="AJ62" s="4" t="s">
        <v>445</v>
      </c>
      <c r="AK62" s="4" t="s">
        <v>590</v>
      </c>
      <c r="AM62" s="1">
        <v>209.48500000000001</v>
      </c>
      <c r="AQ62" s="4" t="s">
        <v>445</v>
      </c>
      <c r="AR62" s="4" t="s">
        <v>631</v>
      </c>
      <c r="AT62" s="1">
        <v>240.58099999999999</v>
      </c>
      <c r="AV62" s="4" t="s">
        <v>445</v>
      </c>
      <c r="AW62" s="4" t="s">
        <v>672</v>
      </c>
      <c r="AY62" s="1">
        <v>264.71100000000001</v>
      </c>
      <c r="BA62" s="4" t="s">
        <v>445</v>
      </c>
      <c r="BB62" s="4" t="s">
        <v>795</v>
      </c>
      <c r="BD62" s="1">
        <v>335.63400000000001</v>
      </c>
      <c r="BF62" s="4" t="s">
        <v>445</v>
      </c>
      <c r="BG62" s="4" t="s">
        <v>754</v>
      </c>
      <c r="BI62" s="1">
        <v>1844.69</v>
      </c>
      <c r="BK62" s="4" t="s">
        <v>445</v>
      </c>
      <c r="BL62" s="4" t="s">
        <v>713</v>
      </c>
      <c r="BN62" s="1">
        <v>3580.65</v>
      </c>
    </row>
    <row r="63" spans="1:66" x14ac:dyDescent="0.4">
      <c r="D63" s="1">
        <v>65184.9</v>
      </c>
      <c r="F63" s="4" t="s">
        <v>133</v>
      </c>
      <c r="I63" s="1">
        <v>491.45100000000002</v>
      </c>
      <c r="K63" s="4" t="s">
        <v>236</v>
      </c>
      <c r="N63" s="1">
        <v>247251</v>
      </c>
      <c r="P63" s="4" t="s">
        <v>337</v>
      </c>
      <c r="S63" s="1">
        <v>560417</v>
      </c>
      <c r="U63" s="4" t="s">
        <v>437</v>
      </c>
      <c r="V63" s="4" t="s">
        <v>447</v>
      </c>
      <c r="X63" s="1">
        <v>226903</v>
      </c>
      <c r="Z63" s="4" t="s">
        <v>437</v>
      </c>
      <c r="AA63" s="4" t="s">
        <v>506</v>
      </c>
      <c r="AC63" s="1">
        <v>377291</v>
      </c>
      <c r="AH63" s="1">
        <v>173.56100000000001</v>
      </c>
      <c r="AM63" s="1">
        <v>203.51</v>
      </c>
      <c r="AT63" s="1">
        <v>236.32300000000001</v>
      </c>
      <c r="AY63" s="1">
        <v>273.52300000000002</v>
      </c>
      <c r="BD63" s="1">
        <v>334.27800000000002</v>
      </c>
      <c r="BI63" s="1">
        <v>1876.96</v>
      </c>
      <c r="BN63" s="1">
        <v>3469.93</v>
      </c>
    </row>
    <row r="64" spans="1:66" x14ac:dyDescent="0.4">
      <c r="A64" s="4" t="s">
        <v>12</v>
      </c>
      <c r="D64" s="1">
        <v>65584.800000000003</v>
      </c>
      <c r="F64" s="4" t="s">
        <v>134</v>
      </c>
      <c r="I64" s="1">
        <v>495.34899999999999</v>
      </c>
      <c r="K64" s="4" t="s">
        <v>237</v>
      </c>
      <c r="N64" s="1">
        <v>246764</v>
      </c>
      <c r="P64" s="4" t="s">
        <v>338</v>
      </c>
      <c r="S64" s="1">
        <v>557322</v>
      </c>
      <c r="U64" s="4" t="s">
        <v>439</v>
      </c>
      <c r="V64" s="4" t="s">
        <v>448</v>
      </c>
      <c r="X64" s="5"/>
      <c r="Z64" s="4" t="s">
        <v>439</v>
      </c>
      <c r="AA64" s="4" t="s">
        <v>507</v>
      </c>
      <c r="AC64" s="5"/>
      <c r="AE64" s="4" t="s">
        <v>535</v>
      </c>
      <c r="AH64" s="1">
        <v>177.709</v>
      </c>
      <c r="AJ64" s="4" t="s">
        <v>576</v>
      </c>
      <c r="AM64" s="1">
        <v>202.011</v>
      </c>
      <c r="AQ64" s="4" t="s">
        <v>617</v>
      </c>
      <c r="AT64" s="1">
        <v>259.435</v>
      </c>
      <c r="AV64" s="4" t="s">
        <v>658</v>
      </c>
      <c r="AY64" s="1">
        <v>270.91800000000001</v>
      </c>
      <c r="BA64" s="4" t="s">
        <v>781</v>
      </c>
      <c r="BD64" s="1">
        <v>341.08499999999998</v>
      </c>
      <c r="BF64" s="4" t="s">
        <v>740</v>
      </c>
      <c r="BI64" s="1">
        <v>1821.69</v>
      </c>
      <c r="BK64" s="4" t="s">
        <v>699</v>
      </c>
      <c r="BN64" s="1">
        <v>3659.65</v>
      </c>
    </row>
    <row r="65" spans="1:66" x14ac:dyDescent="0.4">
      <c r="A65" s="4" t="s">
        <v>38</v>
      </c>
      <c r="D65" s="1">
        <v>65206.6</v>
      </c>
      <c r="F65" s="4" t="s">
        <v>135</v>
      </c>
      <c r="I65" s="1">
        <v>484.31200000000001</v>
      </c>
      <c r="K65" s="4" t="s">
        <v>238</v>
      </c>
      <c r="N65" s="1">
        <v>247169</v>
      </c>
      <c r="P65" s="4" t="s">
        <v>339</v>
      </c>
      <c r="S65" s="1">
        <v>558259</v>
      </c>
      <c r="U65" s="4" t="s">
        <v>441</v>
      </c>
      <c r="V65" s="4" t="s">
        <v>449</v>
      </c>
      <c r="X65" s="1" t="s">
        <v>370</v>
      </c>
      <c r="Z65" s="4" t="s">
        <v>441</v>
      </c>
      <c r="AA65" s="4" t="s">
        <v>508</v>
      </c>
      <c r="AC65" s="1" t="s">
        <v>370</v>
      </c>
      <c r="AE65" s="4">
        <v>9</v>
      </c>
      <c r="AH65" s="1">
        <v>175.82900000000001</v>
      </c>
      <c r="AJ65" s="4">
        <v>29</v>
      </c>
      <c r="AM65" s="1">
        <v>207.666</v>
      </c>
      <c r="AQ65" s="4">
        <v>49</v>
      </c>
      <c r="AT65" s="1">
        <v>254.02199999999999</v>
      </c>
      <c r="AV65" s="4">
        <v>69</v>
      </c>
      <c r="AY65" s="1">
        <v>267.49299999999999</v>
      </c>
      <c r="BA65" s="4">
        <v>28</v>
      </c>
      <c r="BD65" s="1">
        <v>334.39499999999998</v>
      </c>
      <c r="BF65" s="4">
        <v>8</v>
      </c>
      <c r="BI65" s="1">
        <v>1841.78</v>
      </c>
      <c r="BK65" s="4">
        <v>89</v>
      </c>
      <c r="BN65" s="1">
        <v>3658.1</v>
      </c>
    </row>
    <row r="66" spans="1:66" x14ac:dyDescent="0.4">
      <c r="A66" s="4" t="s">
        <v>39</v>
      </c>
      <c r="D66" s="1">
        <v>65077.4</v>
      </c>
      <c r="F66" s="4" t="s">
        <v>136</v>
      </c>
      <c r="I66" s="1">
        <v>490.16500000000002</v>
      </c>
      <c r="K66" s="4" t="s">
        <v>239</v>
      </c>
      <c r="N66" s="1">
        <v>246458</v>
      </c>
      <c r="P66" s="4" t="s">
        <v>340</v>
      </c>
      <c r="S66" s="1">
        <v>561372</v>
      </c>
      <c r="U66" s="4" t="s">
        <v>443</v>
      </c>
      <c r="V66" s="4" t="s">
        <v>450</v>
      </c>
      <c r="X66" s="1">
        <v>142.756</v>
      </c>
      <c r="Z66" s="4" t="s">
        <v>443</v>
      </c>
      <c r="AA66" s="4" t="s">
        <v>509</v>
      </c>
      <c r="AC66" s="1">
        <v>165.57499999999999</v>
      </c>
      <c r="AE66" s="4" t="s">
        <v>443</v>
      </c>
      <c r="AF66" s="4" t="s">
        <v>550</v>
      </c>
      <c r="AH66" s="1">
        <v>185.31</v>
      </c>
      <c r="AJ66" s="4" t="s">
        <v>443</v>
      </c>
      <c r="AK66" s="4" t="s">
        <v>591</v>
      </c>
      <c r="AM66" s="1">
        <v>205.71199999999999</v>
      </c>
      <c r="AQ66" s="4" t="s">
        <v>443</v>
      </c>
      <c r="AR66" s="4" t="s">
        <v>632</v>
      </c>
      <c r="AT66" s="1">
        <v>260.15499999999997</v>
      </c>
      <c r="AV66" s="4" t="s">
        <v>443</v>
      </c>
      <c r="AW66" s="4" t="s">
        <v>673</v>
      </c>
      <c r="AY66" s="1">
        <v>284.82</v>
      </c>
      <c r="BA66" s="4" t="s">
        <v>443</v>
      </c>
      <c r="BB66" s="4" t="s">
        <v>796</v>
      </c>
      <c r="BD66" s="1">
        <v>333.40199999999999</v>
      </c>
      <c r="BF66" s="4" t="s">
        <v>443</v>
      </c>
      <c r="BG66" s="4" t="s">
        <v>755</v>
      </c>
      <c r="BI66" s="1">
        <v>1859.14</v>
      </c>
      <c r="BK66" s="4" t="s">
        <v>443</v>
      </c>
      <c r="BL66" s="4" t="s">
        <v>714</v>
      </c>
      <c r="BN66" s="1">
        <v>3529.61</v>
      </c>
    </row>
    <row r="67" spans="1:66" x14ac:dyDescent="0.4">
      <c r="A67" s="4" t="s">
        <v>40</v>
      </c>
      <c r="D67" s="1">
        <v>64929.2</v>
      </c>
      <c r="F67" s="4" t="s">
        <v>137</v>
      </c>
      <c r="I67" s="1">
        <v>511.06299999999999</v>
      </c>
      <c r="K67" s="4" t="s">
        <v>240</v>
      </c>
      <c r="N67" s="1">
        <v>246174</v>
      </c>
      <c r="P67" s="4" t="s">
        <v>341</v>
      </c>
      <c r="S67" s="1">
        <v>557576</v>
      </c>
      <c r="U67" s="4" t="s">
        <v>445</v>
      </c>
      <c r="V67" s="4" t="s">
        <v>451</v>
      </c>
      <c r="X67" s="1">
        <v>142.75399999999999</v>
      </c>
      <c r="Z67" s="4" t="s">
        <v>445</v>
      </c>
      <c r="AA67" s="4" t="s">
        <v>510</v>
      </c>
      <c r="AC67" s="1">
        <v>165.178</v>
      </c>
      <c r="AE67" s="4" t="s">
        <v>445</v>
      </c>
      <c r="AF67" s="4" t="s">
        <v>551</v>
      </c>
      <c r="AH67" s="1">
        <v>178.25899999999999</v>
      </c>
      <c r="AJ67" s="4" t="s">
        <v>445</v>
      </c>
      <c r="AK67" s="4" t="s">
        <v>592</v>
      </c>
      <c r="AM67" s="1">
        <v>211.12700000000001</v>
      </c>
      <c r="AQ67" s="4" t="s">
        <v>445</v>
      </c>
      <c r="AR67" s="4" t="s">
        <v>633</v>
      </c>
      <c r="AT67" s="1">
        <v>256.887</v>
      </c>
      <c r="AV67" s="4" t="s">
        <v>445</v>
      </c>
      <c r="AW67" s="4" t="s">
        <v>674</v>
      </c>
      <c r="AY67" s="1">
        <v>273.322</v>
      </c>
      <c r="BA67" s="4" t="s">
        <v>445</v>
      </c>
      <c r="BB67" s="4" t="s">
        <v>797</v>
      </c>
      <c r="BD67" s="1">
        <v>344.91500000000002</v>
      </c>
      <c r="BF67" s="4" t="s">
        <v>445</v>
      </c>
      <c r="BG67" s="4" t="s">
        <v>756</v>
      </c>
      <c r="BI67" s="1">
        <v>1951.19</v>
      </c>
      <c r="BK67" s="4" t="s">
        <v>445</v>
      </c>
      <c r="BL67" s="4" t="s">
        <v>715</v>
      </c>
      <c r="BN67" s="1">
        <v>3508.79</v>
      </c>
    </row>
    <row r="68" spans="1:66" x14ac:dyDescent="0.4">
      <c r="A68" s="4" t="s">
        <v>41</v>
      </c>
      <c r="D68" s="1">
        <v>65259.6</v>
      </c>
      <c r="I68" s="1">
        <v>487.87299999999999</v>
      </c>
      <c r="N68" s="1">
        <v>246144</v>
      </c>
      <c r="S68" s="1">
        <v>558032</v>
      </c>
      <c r="X68" s="1">
        <v>145.197</v>
      </c>
      <c r="AC68" s="1">
        <v>165.21600000000001</v>
      </c>
      <c r="AH68" s="1">
        <v>170.99299999999999</v>
      </c>
      <c r="AM68" s="1">
        <v>207.94499999999999</v>
      </c>
      <c r="AT68" s="1">
        <v>282.12799999999999</v>
      </c>
      <c r="AY68" s="1">
        <v>267.66699999999997</v>
      </c>
      <c r="BD68" s="1">
        <v>330.79899999999998</v>
      </c>
      <c r="BI68" s="1">
        <v>1908.25</v>
      </c>
      <c r="BN68" s="1">
        <v>3552.74</v>
      </c>
    </row>
    <row r="69" spans="1:66" x14ac:dyDescent="0.4">
      <c r="A69" s="4" t="s">
        <v>42</v>
      </c>
      <c r="D69" s="1">
        <v>65139.5</v>
      </c>
      <c r="F69" s="4" t="s">
        <v>113</v>
      </c>
      <c r="I69" s="1">
        <v>483.399</v>
      </c>
      <c r="K69" s="4" t="s">
        <v>215</v>
      </c>
      <c r="N69" s="1">
        <v>247616</v>
      </c>
      <c r="P69" s="4" t="s">
        <v>316</v>
      </c>
      <c r="S69" s="1">
        <v>557890</v>
      </c>
      <c r="U69" s="4" t="s">
        <v>422</v>
      </c>
      <c r="X69" s="1">
        <v>128.85300000000001</v>
      </c>
      <c r="Z69" s="4" t="s">
        <v>476</v>
      </c>
      <c r="AC69" s="1">
        <v>165.619</v>
      </c>
      <c r="AE69" s="4" t="s">
        <v>535</v>
      </c>
      <c r="AH69" s="1">
        <v>181.32</v>
      </c>
      <c r="AJ69" s="4" t="s">
        <v>576</v>
      </c>
      <c r="AM69" s="1">
        <v>201.971</v>
      </c>
      <c r="AQ69" s="4" t="s">
        <v>617</v>
      </c>
      <c r="AT69" s="1">
        <v>232.72200000000001</v>
      </c>
      <c r="AV69" s="4" t="s">
        <v>658</v>
      </c>
      <c r="AY69" s="1">
        <v>267.78699999999998</v>
      </c>
      <c r="BA69" s="4" t="s">
        <v>781</v>
      </c>
      <c r="BD69" s="1">
        <v>327.28399999999999</v>
      </c>
      <c r="BF69" s="4" t="s">
        <v>740</v>
      </c>
      <c r="BI69" s="1">
        <v>1854.55</v>
      </c>
      <c r="BK69" s="4" t="s">
        <v>699</v>
      </c>
      <c r="BN69" s="1">
        <v>3473.44</v>
      </c>
    </row>
    <row r="70" spans="1:66" x14ac:dyDescent="0.4">
      <c r="D70" s="1">
        <v>65159.1</v>
      </c>
      <c r="F70" s="4">
        <v>5</v>
      </c>
      <c r="I70" s="1">
        <v>478.58</v>
      </c>
      <c r="K70" s="4">
        <v>6</v>
      </c>
      <c r="N70" s="1">
        <v>246506</v>
      </c>
      <c r="P70" s="4">
        <v>1</v>
      </c>
      <c r="S70" s="1">
        <v>562880</v>
      </c>
      <c r="U70" s="4">
        <v>4</v>
      </c>
      <c r="X70" s="1">
        <v>133.334</v>
      </c>
      <c r="Z70" s="4">
        <v>4</v>
      </c>
      <c r="AC70" s="1">
        <v>166.72</v>
      </c>
      <c r="AE70" s="4">
        <v>10</v>
      </c>
      <c r="AH70" s="1">
        <v>173.76499999999999</v>
      </c>
      <c r="AJ70" s="4">
        <v>30</v>
      </c>
      <c r="AM70" s="1">
        <v>204.32</v>
      </c>
      <c r="AQ70" s="4">
        <v>50</v>
      </c>
      <c r="AT70" s="1">
        <v>237.00800000000001</v>
      </c>
      <c r="AV70" s="4">
        <v>70</v>
      </c>
      <c r="AY70" s="1">
        <v>267.85399999999998</v>
      </c>
      <c r="BA70" s="4">
        <v>29</v>
      </c>
      <c r="BD70" s="1">
        <v>336.03399999999999</v>
      </c>
      <c r="BF70" s="4">
        <v>9</v>
      </c>
      <c r="BI70" s="1">
        <v>1875.98</v>
      </c>
      <c r="BK70" s="4">
        <v>90</v>
      </c>
      <c r="BN70" s="1">
        <v>3541</v>
      </c>
    </row>
    <row r="71" spans="1:66" x14ac:dyDescent="0.4">
      <c r="A71" s="4" t="s">
        <v>12</v>
      </c>
      <c r="D71" s="1">
        <v>65436.3</v>
      </c>
      <c r="F71" s="4" t="s">
        <v>138</v>
      </c>
      <c r="I71" s="1">
        <v>480.88</v>
      </c>
      <c r="K71" s="4" t="s">
        <v>241</v>
      </c>
      <c r="N71" s="1">
        <v>247020</v>
      </c>
      <c r="P71" s="4" t="s">
        <v>342</v>
      </c>
      <c r="S71" s="1">
        <v>564909</v>
      </c>
      <c r="U71" s="4" t="s">
        <v>437</v>
      </c>
      <c r="V71" s="4" t="s">
        <v>452</v>
      </c>
      <c r="X71" s="1">
        <v>129.465</v>
      </c>
      <c r="Z71" s="4" t="s">
        <v>437</v>
      </c>
      <c r="AA71" s="4" t="s">
        <v>511</v>
      </c>
      <c r="AC71" s="1">
        <v>165.518</v>
      </c>
      <c r="AE71" s="4" t="s">
        <v>443</v>
      </c>
      <c r="AF71" s="4" t="s">
        <v>552</v>
      </c>
      <c r="AH71" s="1">
        <v>227.24199999999999</v>
      </c>
      <c r="AJ71" s="4" t="s">
        <v>443</v>
      </c>
      <c r="AK71" s="4" t="s">
        <v>593</v>
      </c>
      <c r="AM71" s="1">
        <v>216.95699999999999</v>
      </c>
      <c r="AQ71" s="4" t="s">
        <v>443</v>
      </c>
      <c r="AR71" s="4" t="s">
        <v>634</v>
      </c>
      <c r="AT71" s="1">
        <v>237.685</v>
      </c>
      <c r="AV71" s="4" t="s">
        <v>443</v>
      </c>
      <c r="AW71" s="4" t="s">
        <v>675</v>
      </c>
      <c r="AY71" s="1">
        <v>273.577</v>
      </c>
      <c r="BA71" s="4" t="s">
        <v>443</v>
      </c>
      <c r="BB71" s="4" t="s">
        <v>798</v>
      </c>
      <c r="BD71" s="1">
        <v>343.67099999999999</v>
      </c>
      <c r="BF71" s="4" t="s">
        <v>443</v>
      </c>
      <c r="BG71" s="4" t="s">
        <v>757</v>
      </c>
      <c r="BI71" s="1">
        <v>1936.32</v>
      </c>
      <c r="BK71" s="4" t="s">
        <v>443</v>
      </c>
      <c r="BL71" s="4" t="s">
        <v>716</v>
      </c>
      <c r="BN71" s="1">
        <v>3676.24</v>
      </c>
    </row>
    <row r="72" spans="1:66" x14ac:dyDescent="0.4">
      <c r="A72" s="4" t="s">
        <v>43</v>
      </c>
      <c r="D72" s="5"/>
      <c r="F72" s="4" t="s">
        <v>139</v>
      </c>
      <c r="I72" s="5"/>
      <c r="K72" s="4" t="s">
        <v>242</v>
      </c>
      <c r="N72" s="5"/>
      <c r="P72" s="4" t="s">
        <v>343</v>
      </c>
      <c r="S72" s="5"/>
      <c r="U72" s="4" t="s">
        <v>439</v>
      </c>
      <c r="V72" s="4" t="s">
        <v>453</v>
      </c>
      <c r="X72" s="1">
        <v>129.27699999999999</v>
      </c>
      <c r="Z72" s="4" t="s">
        <v>439</v>
      </c>
      <c r="AA72" s="4" t="s">
        <v>512</v>
      </c>
      <c r="AC72" s="1">
        <v>166.017</v>
      </c>
      <c r="AE72" s="4" t="s">
        <v>445</v>
      </c>
      <c r="AF72" s="4" t="s">
        <v>553</v>
      </c>
      <c r="AH72" s="1">
        <v>210.89400000000001</v>
      </c>
      <c r="AJ72" s="4" t="s">
        <v>445</v>
      </c>
      <c r="AK72" s="4" t="s">
        <v>594</v>
      </c>
      <c r="AM72" s="1">
        <v>211.874</v>
      </c>
      <c r="AQ72" s="4" t="s">
        <v>445</v>
      </c>
      <c r="AR72" s="4" t="s">
        <v>635</v>
      </c>
      <c r="AT72" s="1">
        <v>235.73500000000001</v>
      </c>
      <c r="AV72" s="4" t="s">
        <v>445</v>
      </c>
      <c r="AW72" s="4" t="s">
        <v>676</v>
      </c>
      <c r="AY72" s="1">
        <v>271.71899999999999</v>
      </c>
      <c r="BA72" s="4" t="s">
        <v>445</v>
      </c>
      <c r="BB72" s="4" t="s">
        <v>799</v>
      </c>
      <c r="BD72" s="1">
        <v>347.452</v>
      </c>
      <c r="BF72" s="4" t="s">
        <v>445</v>
      </c>
      <c r="BG72" s="4" t="s">
        <v>758</v>
      </c>
      <c r="BI72" s="1">
        <v>1933.88</v>
      </c>
      <c r="BK72" s="4" t="s">
        <v>445</v>
      </c>
      <c r="BL72" s="4" t="s">
        <v>717</v>
      </c>
      <c r="BN72" s="1">
        <v>3569.16</v>
      </c>
    </row>
    <row r="73" spans="1:66" x14ac:dyDescent="0.4">
      <c r="A73" s="4" t="s">
        <v>44</v>
      </c>
      <c r="D73" s="1" t="s">
        <v>369</v>
      </c>
      <c r="F73" s="4" t="s">
        <v>140</v>
      </c>
      <c r="I73" s="1" t="s">
        <v>369</v>
      </c>
      <c r="K73" s="4" t="s">
        <v>243</v>
      </c>
      <c r="N73" s="1" t="s">
        <v>369</v>
      </c>
      <c r="P73" s="4" t="s">
        <v>344</v>
      </c>
      <c r="S73" s="1" t="s">
        <v>369</v>
      </c>
      <c r="U73" s="4" t="s">
        <v>441</v>
      </c>
      <c r="V73" s="4" t="s">
        <v>454</v>
      </c>
      <c r="X73" s="1">
        <v>128.48599999999999</v>
      </c>
      <c r="Z73" s="4" t="s">
        <v>441</v>
      </c>
      <c r="AA73" s="4" t="s">
        <v>513</v>
      </c>
      <c r="AC73" s="1">
        <v>176.24</v>
      </c>
      <c r="AH73" s="1">
        <v>177.17099999999999</v>
      </c>
      <c r="AM73" s="1">
        <v>244.48</v>
      </c>
      <c r="AT73" s="1">
        <v>244.35900000000001</v>
      </c>
      <c r="AY73" s="1">
        <v>279.02600000000001</v>
      </c>
      <c r="BD73" s="1">
        <v>334.53</v>
      </c>
      <c r="BI73" s="1">
        <v>1853.15</v>
      </c>
      <c r="BN73" s="1">
        <v>3552.12</v>
      </c>
    </row>
    <row r="74" spans="1:66" x14ac:dyDescent="0.4">
      <c r="A74" s="4" t="s">
        <v>45</v>
      </c>
      <c r="D74" s="1">
        <v>15001.3</v>
      </c>
      <c r="F74" s="4" t="s">
        <v>141</v>
      </c>
      <c r="I74" s="1">
        <v>158.12</v>
      </c>
      <c r="K74" s="4" t="s">
        <v>244</v>
      </c>
      <c r="N74" s="1">
        <v>68694.600000000006</v>
      </c>
      <c r="P74" s="4" t="s">
        <v>345</v>
      </c>
      <c r="S74" s="1">
        <v>135757</v>
      </c>
      <c r="U74" s="4" t="s">
        <v>443</v>
      </c>
      <c r="V74" s="4" t="s">
        <v>455</v>
      </c>
      <c r="X74" s="1">
        <v>136.98699999999999</v>
      </c>
      <c r="Z74" s="4" t="s">
        <v>443</v>
      </c>
      <c r="AA74" s="4" t="s">
        <v>514</v>
      </c>
      <c r="AC74" s="1">
        <v>165.34899999999999</v>
      </c>
      <c r="AE74" s="4" t="s">
        <v>535</v>
      </c>
      <c r="AJ74" s="4" t="s">
        <v>576</v>
      </c>
      <c r="AQ74" s="4" t="s">
        <v>617</v>
      </c>
      <c r="AV74" s="4" t="s">
        <v>658</v>
      </c>
      <c r="BA74" s="4" t="s">
        <v>781</v>
      </c>
      <c r="BF74" s="4" t="s">
        <v>740</v>
      </c>
      <c r="BK74" s="4" t="s">
        <v>699</v>
      </c>
    </row>
    <row r="75" spans="1:66" x14ac:dyDescent="0.4">
      <c r="A75" s="4" t="s">
        <v>46</v>
      </c>
      <c r="D75" s="1">
        <v>15324.5</v>
      </c>
      <c r="F75" s="4" t="s">
        <v>142</v>
      </c>
      <c r="I75" s="1">
        <v>153.578</v>
      </c>
      <c r="K75" s="4" t="s">
        <v>245</v>
      </c>
      <c r="N75" s="1">
        <v>68520.2</v>
      </c>
      <c r="P75" s="4" t="s">
        <v>346</v>
      </c>
      <c r="S75" s="1">
        <v>136942</v>
      </c>
      <c r="U75" s="4" t="s">
        <v>445</v>
      </c>
      <c r="V75" s="4" t="s">
        <v>456</v>
      </c>
      <c r="X75" s="1">
        <v>129.935</v>
      </c>
      <c r="Z75" s="4" t="s">
        <v>445</v>
      </c>
      <c r="AA75" s="4" t="s">
        <v>515</v>
      </c>
      <c r="AC75" s="1">
        <v>166.226</v>
      </c>
      <c r="AE75" s="4">
        <v>11</v>
      </c>
      <c r="AJ75" s="4">
        <v>31</v>
      </c>
      <c r="AQ75" s="4">
        <v>51</v>
      </c>
      <c r="AV75" s="4">
        <v>71</v>
      </c>
      <c r="BA75" s="4">
        <v>30</v>
      </c>
      <c r="BF75" s="4">
        <v>10</v>
      </c>
      <c r="BK75" s="4">
        <v>91</v>
      </c>
    </row>
    <row r="76" spans="1:66" x14ac:dyDescent="0.4">
      <c r="A76" s="4" t="s">
        <v>47</v>
      </c>
      <c r="D76" s="1">
        <v>15244.8</v>
      </c>
      <c r="I76" s="1">
        <v>151.458</v>
      </c>
      <c r="N76" s="1">
        <v>68893.3</v>
      </c>
      <c r="S76" s="1">
        <v>136248</v>
      </c>
      <c r="X76" s="5"/>
      <c r="AC76" s="5"/>
      <c r="AE76" s="4" t="s">
        <v>443</v>
      </c>
      <c r="AF76" s="4" t="s">
        <v>554</v>
      </c>
      <c r="AJ76" s="4" t="s">
        <v>443</v>
      </c>
      <c r="AK76" s="4" t="s">
        <v>595</v>
      </c>
      <c r="AQ76" s="4" t="s">
        <v>443</v>
      </c>
      <c r="AR76" s="4" t="s">
        <v>636</v>
      </c>
      <c r="AV76" s="4" t="s">
        <v>443</v>
      </c>
      <c r="AW76" s="4" t="s">
        <v>677</v>
      </c>
      <c r="BA76" s="4" t="s">
        <v>443</v>
      </c>
      <c r="BB76" s="4" t="s">
        <v>800</v>
      </c>
      <c r="BF76" s="4" t="s">
        <v>443</v>
      </c>
      <c r="BG76" s="4" t="s">
        <v>759</v>
      </c>
      <c r="BK76" s="4" t="s">
        <v>443</v>
      </c>
      <c r="BL76" s="4" t="s">
        <v>718</v>
      </c>
    </row>
    <row r="77" spans="1:66" x14ac:dyDescent="0.4">
      <c r="D77" s="1">
        <v>15241.1</v>
      </c>
      <c r="F77" s="4" t="s">
        <v>113</v>
      </c>
      <c r="I77" s="1">
        <v>166.95599999999999</v>
      </c>
      <c r="K77" s="4" t="s">
        <v>215</v>
      </c>
      <c r="N77" s="1">
        <v>69398.3</v>
      </c>
      <c r="P77" s="4" t="s">
        <v>316</v>
      </c>
      <c r="S77" s="1">
        <v>137088</v>
      </c>
      <c r="U77" s="4" t="s">
        <v>422</v>
      </c>
      <c r="X77" s="1" t="s">
        <v>371</v>
      </c>
      <c r="Z77" s="4" t="s">
        <v>476</v>
      </c>
      <c r="AC77" s="1" t="s">
        <v>371</v>
      </c>
      <c r="AE77" s="4" t="s">
        <v>445</v>
      </c>
      <c r="AF77" s="4" t="s">
        <v>555</v>
      </c>
      <c r="AJ77" s="4" t="s">
        <v>445</v>
      </c>
      <c r="AK77" s="4" t="s">
        <v>596</v>
      </c>
      <c r="AQ77" s="4" t="s">
        <v>445</v>
      </c>
      <c r="AR77" s="4" t="s">
        <v>637</v>
      </c>
      <c r="AV77" s="4" t="s">
        <v>445</v>
      </c>
      <c r="AW77" s="4" t="s">
        <v>678</v>
      </c>
      <c r="BA77" s="4" t="s">
        <v>445</v>
      </c>
      <c r="BB77" s="4" t="s">
        <v>801</v>
      </c>
      <c r="BF77" s="4" t="s">
        <v>445</v>
      </c>
      <c r="BG77" s="4" t="s">
        <v>760</v>
      </c>
      <c r="BK77" s="4" t="s">
        <v>445</v>
      </c>
      <c r="BL77" s="4" t="s">
        <v>719</v>
      </c>
    </row>
    <row r="78" spans="1:66" x14ac:dyDescent="0.4">
      <c r="A78" s="4" t="s">
        <v>12</v>
      </c>
      <c r="D78" s="1">
        <v>15184.6</v>
      </c>
      <c r="F78" s="4">
        <v>6</v>
      </c>
      <c r="I78" s="1">
        <v>151.55199999999999</v>
      </c>
      <c r="K78" s="4">
        <v>7</v>
      </c>
      <c r="N78" s="1">
        <v>68681.100000000006</v>
      </c>
      <c r="P78" s="4">
        <v>2</v>
      </c>
      <c r="S78" s="1">
        <v>135235</v>
      </c>
      <c r="U78" s="4">
        <v>5</v>
      </c>
      <c r="X78" s="1">
        <v>139.74100000000001</v>
      </c>
      <c r="Z78" s="4">
        <v>5</v>
      </c>
      <c r="AC78" s="1">
        <v>141.42500000000001</v>
      </c>
    </row>
    <row r="79" spans="1:66" x14ac:dyDescent="0.4">
      <c r="A79" s="4" t="s">
        <v>48</v>
      </c>
      <c r="D79" s="1">
        <v>15132.8</v>
      </c>
      <c r="F79" s="4" t="s">
        <v>143</v>
      </c>
      <c r="I79" s="1">
        <v>153.02699999999999</v>
      </c>
      <c r="K79" s="4" t="s">
        <v>246</v>
      </c>
      <c r="N79" s="1">
        <v>69960.3</v>
      </c>
      <c r="P79" s="4" t="s">
        <v>347</v>
      </c>
      <c r="S79" s="1">
        <v>135852</v>
      </c>
      <c r="U79" s="4" t="s">
        <v>437</v>
      </c>
      <c r="V79" s="4" t="s">
        <v>457</v>
      </c>
      <c r="X79" s="1">
        <v>125.748</v>
      </c>
      <c r="Z79" s="4" t="s">
        <v>437</v>
      </c>
      <c r="AA79" s="4" t="s">
        <v>516</v>
      </c>
      <c r="AC79" s="1">
        <v>135.017</v>
      </c>
      <c r="AE79" s="4" t="s">
        <v>535</v>
      </c>
      <c r="AJ79" s="4" t="s">
        <v>576</v>
      </c>
      <c r="AQ79" s="4" t="s">
        <v>617</v>
      </c>
      <c r="AV79" s="4" t="s">
        <v>658</v>
      </c>
      <c r="BA79" s="4" t="s">
        <v>781</v>
      </c>
      <c r="BF79" s="4" t="s">
        <v>740</v>
      </c>
      <c r="BK79" s="4" t="s">
        <v>699</v>
      </c>
    </row>
    <row r="80" spans="1:66" x14ac:dyDescent="0.4">
      <c r="A80" s="4" t="s">
        <v>49</v>
      </c>
      <c r="D80" s="1">
        <v>15128.9</v>
      </c>
      <c r="F80" s="4" t="s">
        <v>144</v>
      </c>
      <c r="I80" s="1">
        <v>153.10900000000001</v>
      </c>
      <c r="K80" s="4" t="s">
        <v>247</v>
      </c>
      <c r="N80" s="1">
        <v>68851.3</v>
      </c>
      <c r="P80" s="4" t="s">
        <v>348</v>
      </c>
      <c r="S80" s="1">
        <v>135813</v>
      </c>
      <c r="U80" s="4" t="s">
        <v>439</v>
      </c>
      <c r="V80" s="4" t="s">
        <v>458</v>
      </c>
      <c r="X80" s="1">
        <v>120.319</v>
      </c>
      <c r="Z80" s="4" t="s">
        <v>439</v>
      </c>
      <c r="AA80" s="4" t="s">
        <v>517</v>
      </c>
      <c r="AC80" s="1">
        <v>141.209</v>
      </c>
      <c r="AE80" s="4">
        <v>12</v>
      </c>
      <c r="AJ80" s="4">
        <v>32</v>
      </c>
      <c r="AQ80" s="4">
        <v>52</v>
      </c>
      <c r="AV80" s="4">
        <v>72</v>
      </c>
      <c r="BA80" s="4">
        <v>31</v>
      </c>
      <c r="BF80" s="4">
        <v>11</v>
      </c>
      <c r="BK80" s="4">
        <v>92</v>
      </c>
    </row>
    <row r="81" spans="1:64" x14ac:dyDescent="0.4">
      <c r="A81" s="4" t="s">
        <v>50</v>
      </c>
      <c r="D81" s="1">
        <v>15005.1</v>
      </c>
      <c r="F81" s="4" t="s">
        <v>145</v>
      </c>
      <c r="I81" s="1">
        <v>152.14400000000001</v>
      </c>
      <c r="K81" s="4" t="s">
        <v>248</v>
      </c>
      <c r="N81" s="1">
        <v>68495.5</v>
      </c>
      <c r="P81" s="4" t="s">
        <v>349</v>
      </c>
      <c r="S81" s="1">
        <v>135215</v>
      </c>
      <c r="U81" s="4" t="s">
        <v>441</v>
      </c>
      <c r="V81" s="4" t="s">
        <v>459</v>
      </c>
      <c r="X81" s="1">
        <v>111.65300000000001</v>
      </c>
      <c r="Z81" s="4" t="s">
        <v>441</v>
      </c>
      <c r="AA81" s="4" t="s">
        <v>518</v>
      </c>
      <c r="AC81" s="1">
        <v>144.93199999999999</v>
      </c>
      <c r="AE81" s="4" t="s">
        <v>443</v>
      </c>
      <c r="AF81" s="4" t="s">
        <v>556</v>
      </c>
      <c r="AJ81" s="4" t="s">
        <v>443</v>
      </c>
      <c r="AK81" s="4" t="s">
        <v>597</v>
      </c>
      <c r="AQ81" s="4" t="s">
        <v>443</v>
      </c>
      <c r="AR81" s="4" t="s">
        <v>638</v>
      </c>
      <c r="AV81" s="4" t="s">
        <v>443</v>
      </c>
      <c r="AW81" s="4" t="s">
        <v>679</v>
      </c>
      <c r="BA81" s="4" t="s">
        <v>443</v>
      </c>
      <c r="BB81" s="4" t="s">
        <v>802</v>
      </c>
      <c r="BF81" s="4" t="s">
        <v>443</v>
      </c>
      <c r="BG81" s="4" t="s">
        <v>761</v>
      </c>
      <c r="BK81" s="4" t="s">
        <v>443</v>
      </c>
      <c r="BL81" s="4" t="s">
        <v>720</v>
      </c>
    </row>
    <row r="82" spans="1:64" x14ac:dyDescent="0.4">
      <c r="A82" s="4" t="s">
        <v>51</v>
      </c>
      <c r="D82" s="1">
        <v>15348.5</v>
      </c>
      <c r="F82" s="4" t="s">
        <v>146</v>
      </c>
      <c r="I82" s="1">
        <v>153.30099999999999</v>
      </c>
      <c r="K82" s="4" t="s">
        <v>249</v>
      </c>
      <c r="N82" s="1">
        <v>68500.3</v>
      </c>
      <c r="P82" s="4" t="s">
        <v>350</v>
      </c>
      <c r="S82" s="1">
        <v>135766</v>
      </c>
      <c r="U82" s="4" t="s">
        <v>443</v>
      </c>
      <c r="V82" s="4" t="s">
        <v>460</v>
      </c>
      <c r="X82" s="1">
        <v>118.67</v>
      </c>
      <c r="Z82" s="4" t="s">
        <v>443</v>
      </c>
      <c r="AA82" s="4" t="s">
        <v>519</v>
      </c>
      <c r="AC82" s="1">
        <v>145.244</v>
      </c>
      <c r="AE82" s="4" t="s">
        <v>445</v>
      </c>
      <c r="AF82" s="4" t="s">
        <v>557</v>
      </c>
      <c r="AJ82" s="4" t="s">
        <v>445</v>
      </c>
      <c r="AK82" s="4" t="s">
        <v>598</v>
      </c>
      <c r="AQ82" s="4" t="s">
        <v>445</v>
      </c>
      <c r="AR82" s="4" t="s">
        <v>639</v>
      </c>
      <c r="AV82" s="4" t="s">
        <v>445</v>
      </c>
      <c r="AW82" s="4" t="s">
        <v>680</v>
      </c>
      <c r="BA82" s="4" t="s">
        <v>445</v>
      </c>
      <c r="BB82" s="4" t="s">
        <v>803</v>
      </c>
      <c r="BF82" s="4" t="s">
        <v>445</v>
      </c>
      <c r="BG82" s="4" t="s">
        <v>762</v>
      </c>
      <c r="BK82" s="4" t="s">
        <v>445</v>
      </c>
      <c r="BL82" s="4" t="s">
        <v>721</v>
      </c>
    </row>
    <row r="83" spans="1:64" x14ac:dyDescent="0.4">
      <c r="A83" s="4" t="s">
        <v>52</v>
      </c>
      <c r="D83" s="1">
        <v>15134.8</v>
      </c>
      <c r="F83" s="4" t="s">
        <v>147</v>
      </c>
      <c r="I83" s="1">
        <v>158.38200000000001</v>
      </c>
      <c r="K83" s="4" t="s">
        <v>250</v>
      </c>
      <c r="N83" s="1">
        <v>68498.7</v>
      </c>
      <c r="P83" s="4" t="s">
        <v>351</v>
      </c>
      <c r="S83" s="1">
        <v>135152</v>
      </c>
      <c r="U83" s="4" t="s">
        <v>445</v>
      </c>
      <c r="V83" s="4" t="s">
        <v>461</v>
      </c>
      <c r="X83" s="1">
        <v>110.81100000000001</v>
      </c>
      <c r="Z83" s="4" t="s">
        <v>445</v>
      </c>
      <c r="AA83" s="4" t="s">
        <v>520</v>
      </c>
      <c r="AC83" s="1">
        <v>143.86000000000001</v>
      </c>
    </row>
    <row r="84" spans="1:64" x14ac:dyDescent="0.4">
      <c r="D84" s="1">
        <v>15111.3</v>
      </c>
      <c r="I84" s="1">
        <v>161.47200000000001</v>
      </c>
      <c r="N84" s="1">
        <v>61440.1</v>
      </c>
      <c r="S84" s="1">
        <v>137556</v>
      </c>
      <c r="X84" s="1">
        <v>112.917</v>
      </c>
      <c r="AC84" s="1">
        <v>142.42599999999999</v>
      </c>
      <c r="AE84" s="4" t="s">
        <v>535</v>
      </c>
      <c r="AJ84" s="4" t="s">
        <v>576</v>
      </c>
      <c r="AQ84" s="4" t="s">
        <v>617</v>
      </c>
      <c r="AV84" s="4" t="s">
        <v>658</v>
      </c>
      <c r="BA84" s="4" t="s">
        <v>781</v>
      </c>
      <c r="BF84" s="4" t="s">
        <v>740</v>
      </c>
      <c r="BK84" s="4" t="s">
        <v>699</v>
      </c>
    </row>
    <row r="85" spans="1:64" x14ac:dyDescent="0.4">
      <c r="A85" s="4" t="s">
        <v>12</v>
      </c>
      <c r="D85" s="1">
        <v>15193.7</v>
      </c>
      <c r="F85" s="4" t="s">
        <v>113</v>
      </c>
      <c r="I85" s="1">
        <v>162.88499999999999</v>
      </c>
      <c r="K85" s="4" t="s">
        <v>215</v>
      </c>
      <c r="N85" s="1">
        <v>61316.3</v>
      </c>
      <c r="P85" s="4" t="s">
        <v>316</v>
      </c>
      <c r="S85" s="1">
        <v>139993</v>
      </c>
      <c r="U85" s="4" t="s">
        <v>422</v>
      </c>
      <c r="X85" s="1">
        <v>109.791</v>
      </c>
      <c r="Z85" s="4" t="s">
        <v>476</v>
      </c>
      <c r="AC85" s="1">
        <v>144.61799999999999</v>
      </c>
      <c r="AE85" s="4">
        <v>13</v>
      </c>
      <c r="AJ85" s="4">
        <v>33</v>
      </c>
      <c r="AQ85" s="4">
        <v>53</v>
      </c>
      <c r="AV85" s="4">
        <v>73</v>
      </c>
      <c r="BA85" s="4">
        <v>32</v>
      </c>
      <c r="BF85" s="4">
        <v>12</v>
      </c>
      <c r="BK85" s="4">
        <v>93</v>
      </c>
    </row>
    <row r="86" spans="1:64" x14ac:dyDescent="0.4">
      <c r="A86" s="4" t="s">
        <v>53</v>
      </c>
      <c r="D86" s="1">
        <v>15034.4</v>
      </c>
      <c r="F86" s="4">
        <v>7</v>
      </c>
      <c r="I86" s="1">
        <v>164.11799999999999</v>
      </c>
      <c r="K86" s="4">
        <v>8</v>
      </c>
      <c r="N86" s="1">
        <v>61570</v>
      </c>
      <c r="P86" s="4">
        <v>3</v>
      </c>
      <c r="S86" s="1">
        <v>138009</v>
      </c>
      <c r="U86" s="4">
        <v>6</v>
      </c>
      <c r="X86" s="1">
        <v>111.59</v>
      </c>
      <c r="Z86" s="4">
        <v>6</v>
      </c>
      <c r="AC86" s="1">
        <v>149.453</v>
      </c>
      <c r="AE86" s="4" t="s">
        <v>443</v>
      </c>
      <c r="AF86" s="4" t="s">
        <v>558</v>
      </c>
      <c r="AJ86" s="4" t="s">
        <v>443</v>
      </c>
      <c r="AK86" s="4" t="s">
        <v>599</v>
      </c>
      <c r="AQ86" s="4" t="s">
        <v>443</v>
      </c>
      <c r="AR86" s="4" t="s">
        <v>640</v>
      </c>
      <c r="AV86" s="4" t="s">
        <v>443</v>
      </c>
      <c r="AW86" s="4" t="s">
        <v>681</v>
      </c>
      <c r="BA86" s="4" t="s">
        <v>443</v>
      </c>
      <c r="BB86" s="4" t="s">
        <v>804</v>
      </c>
      <c r="BF86" s="4" t="s">
        <v>443</v>
      </c>
      <c r="BG86" s="4" t="s">
        <v>763</v>
      </c>
      <c r="BK86" s="4" t="s">
        <v>443</v>
      </c>
      <c r="BL86" s="4" t="s">
        <v>722</v>
      </c>
    </row>
    <row r="87" spans="1:64" x14ac:dyDescent="0.4">
      <c r="A87" s="4" t="s">
        <v>54</v>
      </c>
      <c r="D87" s="1">
        <v>14934.4</v>
      </c>
      <c r="F87" s="4" t="s">
        <v>148</v>
      </c>
      <c r="I87" s="1">
        <v>160.28</v>
      </c>
      <c r="K87" s="4" t="s">
        <v>251</v>
      </c>
      <c r="N87" s="1">
        <v>61173.5</v>
      </c>
      <c r="P87" s="4" t="s">
        <v>352</v>
      </c>
      <c r="S87" s="1">
        <v>137739</v>
      </c>
      <c r="U87" s="4" t="s">
        <v>437</v>
      </c>
      <c r="V87" s="4" t="s">
        <v>462</v>
      </c>
      <c r="X87" s="1">
        <v>107.032</v>
      </c>
      <c r="Z87" s="4" t="s">
        <v>437</v>
      </c>
      <c r="AA87" s="4" t="s">
        <v>521</v>
      </c>
      <c r="AC87" s="1">
        <v>145.56899999999999</v>
      </c>
      <c r="AE87" s="4" t="s">
        <v>445</v>
      </c>
      <c r="AF87" s="4" t="s">
        <v>559</v>
      </c>
      <c r="AJ87" s="4" t="s">
        <v>445</v>
      </c>
      <c r="AK87" s="4" t="s">
        <v>600</v>
      </c>
      <c r="AQ87" s="4" t="s">
        <v>445</v>
      </c>
      <c r="AR87" s="4" t="s">
        <v>641</v>
      </c>
      <c r="AV87" s="4" t="s">
        <v>445</v>
      </c>
      <c r="AW87" s="4" t="s">
        <v>682</v>
      </c>
      <c r="BA87" s="4" t="s">
        <v>445</v>
      </c>
      <c r="BB87" s="4" t="s">
        <v>805</v>
      </c>
      <c r="BF87" s="4" t="s">
        <v>445</v>
      </c>
      <c r="BG87" s="4" t="s">
        <v>764</v>
      </c>
      <c r="BK87" s="4" t="s">
        <v>445</v>
      </c>
      <c r="BL87" s="4" t="s">
        <v>723</v>
      </c>
    </row>
    <row r="88" spans="1:64" x14ac:dyDescent="0.4">
      <c r="A88" s="4" t="s">
        <v>55</v>
      </c>
      <c r="D88" s="1">
        <v>15173</v>
      </c>
      <c r="F88" s="4" t="s">
        <v>149</v>
      </c>
      <c r="I88" s="1">
        <v>155.99799999999999</v>
      </c>
      <c r="K88" s="4" t="s">
        <v>252</v>
      </c>
      <c r="N88" s="1">
        <v>61627.9</v>
      </c>
      <c r="P88" s="4" t="s">
        <v>353</v>
      </c>
      <c r="S88" s="1">
        <v>137996</v>
      </c>
      <c r="U88" s="4" t="s">
        <v>439</v>
      </c>
      <c r="V88" s="4" t="s">
        <v>463</v>
      </c>
      <c r="Z88" s="4" t="s">
        <v>439</v>
      </c>
      <c r="AA88" s="4" t="s">
        <v>522</v>
      </c>
    </row>
    <row r="89" spans="1:64" x14ac:dyDescent="0.4">
      <c r="A89" s="4" t="s">
        <v>56</v>
      </c>
      <c r="D89" s="1">
        <v>15110.3</v>
      </c>
      <c r="F89" s="4" t="s">
        <v>150</v>
      </c>
      <c r="I89" s="1">
        <v>164.886</v>
      </c>
      <c r="K89" s="4" t="s">
        <v>253</v>
      </c>
      <c r="N89" s="1">
        <v>61193.2</v>
      </c>
      <c r="P89" s="4" t="s">
        <v>354</v>
      </c>
      <c r="S89" s="1">
        <v>137689</v>
      </c>
      <c r="U89" s="4" t="s">
        <v>441</v>
      </c>
      <c r="V89" s="4" t="s">
        <v>464</v>
      </c>
      <c r="Z89" s="4" t="s">
        <v>441</v>
      </c>
      <c r="AA89" s="4" t="s">
        <v>523</v>
      </c>
      <c r="AE89" s="4" t="s">
        <v>535</v>
      </c>
      <c r="AJ89" s="4" t="s">
        <v>576</v>
      </c>
      <c r="AQ89" s="4" t="s">
        <v>617</v>
      </c>
      <c r="AV89" s="4" t="s">
        <v>658</v>
      </c>
      <c r="BA89" s="4" t="s">
        <v>781</v>
      </c>
      <c r="BF89" s="4" t="s">
        <v>740</v>
      </c>
      <c r="BK89" s="4" t="s">
        <v>699</v>
      </c>
    </row>
    <row r="90" spans="1:64" x14ac:dyDescent="0.4">
      <c r="A90" s="4" t="s">
        <v>57</v>
      </c>
      <c r="D90" s="1">
        <v>15178.2</v>
      </c>
      <c r="F90" s="4" t="s">
        <v>151</v>
      </c>
      <c r="I90" s="1">
        <v>155.1</v>
      </c>
      <c r="K90" s="4" t="s">
        <v>254</v>
      </c>
      <c r="N90" s="1">
        <v>61425.1</v>
      </c>
      <c r="P90" s="4" t="s">
        <v>355</v>
      </c>
      <c r="S90" s="1">
        <v>137514</v>
      </c>
      <c r="U90" s="4" t="s">
        <v>443</v>
      </c>
      <c r="V90" s="4" t="s">
        <v>465</v>
      </c>
      <c r="Z90" s="4" t="s">
        <v>443</v>
      </c>
      <c r="AA90" s="4" t="s">
        <v>524</v>
      </c>
      <c r="AE90" s="4">
        <v>14</v>
      </c>
      <c r="AJ90" s="4">
        <v>34</v>
      </c>
      <c r="AQ90" s="4">
        <v>54</v>
      </c>
      <c r="AV90" s="4">
        <v>74</v>
      </c>
      <c r="BA90" s="4">
        <v>33</v>
      </c>
      <c r="BF90" s="4">
        <v>13</v>
      </c>
      <c r="BK90" s="4">
        <v>94</v>
      </c>
    </row>
    <row r="91" spans="1:64" x14ac:dyDescent="0.4">
      <c r="D91" s="1">
        <v>14991.5</v>
      </c>
      <c r="F91" s="4" t="s">
        <v>152</v>
      </c>
      <c r="I91" s="1">
        <v>149.988</v>
      </c>
      <c r="K91" s="4" t="s">
        <v>255</v>
      </c>
      <c r="N91" s="1">
        <v>61474.3</v>
      </c>
      <c r="P91" s="4" t="s">
        <v>356</v>
      </c>
      <c r="S91" s="1">
        <v>138144</v>
      </c>
      <c r="U91" s="4" t="s">
        <v>445</v>
      </c>
      <c r="V91" s="4" t="s">
        <v>466</v>
      </c>
      <c r="Z91" s="4" t="s">
        <v>445</v>
      </c>
      <c r="AA91" s="4" t="s">
        <v>525</v>
      </c>
      <c r="AE91" s="4" t="s">
        <v>443</v>
      </c>
      <c r="AF91" s="4" t="s">
        <v>560</v>
      </c>
      <c r="AJ91" s="4" t="s">
        <v>443</v>
      </c>
      <c r="AK91" s="4" t="s">
        <v>601</v>
      </c>
      <c r="AQ91" s="4" t="s">
        <v>443</v>
      </c>
      <c r="AR91" s="4" t="s">
        <v>642</v>
      </c>
      <c r="AV91" s="4" t="s">
        <v>443</v>
      </c>
      <c r="AW91" s="4" t="s">
        <v>683</v>
      </c>
      <c r="BA91" s="4" t="s">
        <v>443</v>
      </c>
      <c r="BB91" s="4" t="s">
        <v>806</v>
      </c>
      <c r="BF91" s="4" t="s">
        <v>443</v>
      </c>
      <c r="BG91" s="4" t="s">
        <v>765</v>
      </c>
      <c r="BK91" s="4" t="s">
        <v>443</v>
      </c>
      <c r="BL91" s="4" t="s">
        <v>724</v>
      </c>
    </row>
    <row r="92" spans="1:64" x14ac:dyDescent="0.4">
      <c r="A92" s="4" t="s">
        <v>12</v>
      </c>
      <c r="D92" s="1">
        <v>15005.6</v>
      </c>
      <c r="I92" s="1">
        <v>158.77099999999999</v>
      </c>
      <c r="N92" s="1">
        <v>61463.4</v>
      </c>
      <c r="S92" s="1">
        <v>138664</v>
      </c>
      <c r="AE92" s="4" t="s">
        <v>445</v>
      </c>
      <c r="AF92" s="4" t="s">
        <v>561</v>
      </c>
      <c r="AJ92" s="4" t="s">
        <v>445</v>
      </c>
      <c r="AK92" s="4" t="s">
        <v>602</v>
      </c>
      <c r="AQ92" s="4" t="s">
        <v>445</v>
      </c>
      <c r="AR92" s="4" t="s">
        <v>643</v>
      </c>
      <c r="AV92" s="4" t="s">
        <v>445</v>
      </c>
      <c r="AW92" s="4" t="s">
        <v>684</v>
      </c>
      <c r="BA92" s="4" t="s">
        <v>445</v>
      </c>
      <c r="BB92" s="4" t="s">
        <v>807</v>
      </c>
      <c r="BF92" s="4" t="s">
        <v>445</v>
      </c>
      <c r="BG92" s="4" t="s">
        <v>766</v>
      </c>
      <c r="BK92" s="4" t="s">
        <v>445</v>
      </c>
      <c r="BL92" s="4" t="s">
        <v>725</v>
      </c>
    </row>
    <row r="93" spans="1:64" x14ac:dyDescent="0.4">
      <c r="A93" s="4" t="s">
        <v>58</v>
      </c>
      <c r="D93" s="1">
        <v>15119.3</v>
      </c>
      <c r="F93" s="4" t="s">
        <v>113</v>
      </c>
      <c r="I93" s="1">
        <v>163.69900000000001</v>
      </c>
      <c r="K93" s="4" t="s">
        <v>215</v>
      </c>
      <c r="N93" s="1">
        <v>61557.9</v>
      </c>
      <c r="P93" s="4" t="s">
        <v>316</v>
      </c>
      <c r="S93" s="1">
        <v>141439</v>
      </c>
      <c r="U93" s="4" t="s">
        <v>422</v>
      </c>
      <c r="Z93" s="4" t="s">
        <v>476</v>
      </c>
    </row>
    <row r="94" spans="1:64" x14ac:dyDescent="0.4">
      <c r="A94" s="4" t="s">
        <v>59</v>
      </c>
      <c r="D94" s="5"/>
      <c r="F94" s="4">
        <v>8</v>
      </c>
      <c r="I94" s="5"/>
      <c r="K94" s="4">
        <v>9</v>
      </c>
      <c r="N94" s="5"/>
      <c r="P94" s="4">
        <v>4</v>
      </c>
      <c r="S94" s="5"/>
      <c r="U94" s="4">
        <v>2</v>
      </c>
      <c r="Z94" s="4">
        <v>7</v>
      </c>
      <c r="AE94" s="4" t="s">
        <v>535</v>
      </c>
      <c r="AJ94" s="4" t="s">
        <v>576</v>
      </c>
      <c r="AQ94" s="4" t="s">
        <v>617</v>
      </c>
      <c r="AV94" s="4" t="s">
        <v>658</v>
      </c>
      <c r="BA94" s="4" t="s">
        <v>781</v>
      </c>
      <c r="BF94" s="4" t="s">
        <v>740</v>
      </c>
      <c r="BK94" s="4" t="s">
        <v>699</v>
      </c>
    </row>
    <row r="95" spans="1:64" x14ac:dyDescent="0.4">
      <c r="A95" s="4" t="s">
        <v>60</v>
      </c>
      <c r="D95" s="1" t="s">
        <v>370</v>
      </c>
      <c r="F95" s="4" t="s">
        <v>153</v>
      </c>
      <c r="I95" s="1" t="s">
        <v>370</v>
      </c>
      <c r="K95" s="4" t="s">
        <v>256</v>
      </c>
      <c r="N95" s="1" t="s">
        <v>370</v>
      </c>
      <c r="P95" s="4" t="s">
        <v>357</v>
      </c>
      <c r="S95" s="1" t="s">
        <v>370</v>
      </c>
      <c r="U95" s="4" t="s">
        <v>437</v>
      </c>
      <c r="V95" s="4" t="s">
        <v>467</v>
      </c>
      <c r="Z95" s="4" t="s">
        <v>437</v>
      </c>
      <c r="AA95" s="4" t="s">
        <v>526</v>
      </c>
      <c r="AE95" s="4">
        <v>15</v>
      </c>
      <c r="AJ95" s="4">
        <v>35</v>
      </c>
      <c r="AQ95" s="4">
        <v>55</v>
      </c>
      <c r="AV95" s="4">
        <v>75</v>
      </c>
      <c r="BA95" s="4">
        <v>34</v>
      </c>
      <c r="BF95" s="4">
        <v>14</v>
      </c>
      <c r="BK95" s="4">
        <v>95</v>
      </c>
    </row>
    <row r="96" spans="1:64" x14ac:dyDescent="0.4">
      <c r="A96" s="4" t="s">
        <v>61</v>
      </c>
      <c r="D96" s="1">
        <v>29.280899999999999</v>
      </c>
      <c r="F96" s="4" t="s">
        <v>154</v>
      </c>
      <c r="I96" s="1">
        <v>2.44808</v>
      </c>
      <c r="K96" s="4" t="s">
        <v>257</v>
      </c>
      <c r="N96" s="1">
        <v>70.690899999999999</v>
      </c>
      <c r="P96" s="4" t="s">
        <v>358</v>
      </c>
      <c r="S96" s="1">
        <v>101.92400000000001</v>
      </c>
      <c r="U96" s="4" t="s">
        <v>439</v>
      </c>
      <c r="V96" s="4" t="s">
        <v>468</v>
      </c>
      <c r="Z96" s="4" t="s">
        <v>439</v>
      </c>
      <c r="AA96" s="4" t="s">
        <v>527</v>
      </c>
      <c r="AE96" s="4" t="s">
        <v>443</v>
      </c>
      <c r="AF96" s="4" t="s">
        <v>562</v>
      </c>
      <c r="AJ96" s="4" t="s">
        <v>443</v>
      </c>
      <c r="AK96" s="4" t="s">
        <v>603</v>
      </c>
      <c r="AQ96" s="4" t="s">
        <v>443</v>
      </c>
      <c r="AR96" s="4" t="s">
        <v>644</v>
      </c>
      <c r="AV96" s="4" t="s">
        <v>443</v>
      </c>
      <c r="AW96" s="4" t="s">
        <v>685</v>
      </c>
      <c r="BA96" s="4" t="s">
        <v>443</v>
      </c>
      <c r="BB96" s="4" t="s">
        <v>808</v>
      </c>
      <c r="BF96" s="4" t="s">
        <v>443</v>
      </c>
      <c r="BG96" s="4" t="s">
        <v>767</v>
      </c>
      <c r="BK96" s="4" t="s">
        <v>443</v>
      </c>
      <c r="BL96" s="4" t="s">
        <v>726</v>
      </c>
    </row>
    <row r="97" spans="1:64" x14ac:dyDescent="0.4">
      <c r="A97" s="4" t="s">
        <v>62</v>
      </c>
      <c r="D97" s="1">
        <v>37.220999999999997</v>
      </c>
      <c r="F97" s="4" t="s">
        <v>155</v>
      </c>
      <c r="I97" s="1">
        <v>2.4831300000000001</v>
      </c>
      <c r="K97" s="4" t="s">
        <v>258</v>
      </c>
      <c r="N97" s="1">
        <v>61.665100000000002</v>
      </c>
      <c r="P97" s="4" t="s">
        <v>359</v>
      </c>
      <c r="S97" s="1">
        <v>98.52</v>
      </c>
      <c r="U97" s="4" t="s">
        <v>441</v>
      </c>
      <c r="V97" s="4" t="s">
        <v>469</v>
      </c>
      <c r="Z97" s="4" t="s">
        <v>441</v>
      </c>
      <c r="AA97" s="4" t="s">
        <v>528</v>
      </c>
      <c r="AE97" s="4" t="s">
        <v>445</v>
      </c>
      <c r="AF97" s="4" t="s">
        <v>563</v>
      </c>
      <c r="AJ97" s="4" t="s">
        <v>445</v>
      </c>
      <c r="AK97" s="4" t="s">
        <v>604</v>
      </c>
      <c r="AQ97" s="4" t="s">
        <v>445</v>
      </c>
      <c r="AR97" s="4" t="s">
        <v>645</v>
      </c>
      <c r="AV97" s="4" t="s">
        <v>445</v>
      </c>
      <c r="AW97" s="4" t="s">
        <v>686</v>
      </c>
      <c r="BA97" s="4" t="s">
        <v>445</v>
      </c>
      <c r="BB97" s="4" t="s">
        <v>809</v>
      </c>
      <c r="BF97" s="4" t="s">
        <v>445</v>
      </c>
      <c r="BG97" s="4" t="s">
        <v>768</v>
      </c>
      <c r="BK97" s="4" t="s">
        <v>445</v>
      </c>
      <c r="BL97" s="4" t="s">
        <v>727</v>
      </c>
    </row>
    <row r="98" spans="1:64" x14ac:dyDescent="0.4">
      <c r="D98" s="1">
        <v>29.7041</v>
      </c>
      <c r="F98" s="4" t="s">
        <v>156</v>
      </c>
      <c r="I98" s="1">
        <v>2.4290099999999999</v>
      </c>
      <c r="K98" s="4" t="s">
        <v>259</v>
      </c>
      <c r="N98" s="1">
        <v>70.017099999999999</v>
      </c>
      <c r="P98" s="4" t="s">
        <v>360</v>
      </c>
      <c r="S98" s="1">
        <v>98.547899999999998</v>
      </c>
      <c r="U98" s="4" t="s">
        <v>443</v>
      </c>
      <c r="V98" s="4" t="s">
        <v>470</v>
      </c>
      <c r="Z98" s="4" t="s">
        <v>443</v>
      </c>
      <c r="AA98" s="4" t="s">
        <v>529</v>
      </c>
    </row>
    <row r="99" spans="1:64" x14ac:dyDescent="0.4">
      <c r="A99" s="4" t="s">
        <v>12</v>
      </c>
      <c r="D99" s="1">
        <v>32.091099999999997</v>
      </c>
      <c r="F99" s="4" t="s">
        <v>157</v>
      </c>
      <c r="I99" s="1">
        <v>3.7009699999999999</v>
      </c>
      <c r="K99" s="4" t="s">
        <v>260</v>
      </c>
      <c r="N99" s="1">
        <v>72.1982</v>
      </c>
      <c r="P99" s="4" t="s">
        <v>361</v>
      </c>
      <c r="S99" s="1">
        <v>98.636200000000002</v>
      </c>
      <c r="U99" s="4" t="s">
        <v>445</v>
      </c>
      <c r="V99" s="4" t="s">
        <v>471</v>
      </c>
      <c r="Z99" s="4" t="s">
        <v>445</v>
      </c>
      <c r="AA99" s="4" t="s">
        <v>530</v>
      </c>
      <c r="AE99" s="4" t="s">
        <v>535</v>
      </c>
      <c r="AJ99" s="4" t="s">
        <v>576</v>
      </c>
      <c r="AQ99" s="4" t="s">
        <v>617</v>
      </c>
      <c r="AV99" s="4" t="s">
        <v>658</v>
      </c>
      <c r="BA99" s="4" t="s">
        <v>781</v>
      </c>
      <c r="BF99" s="4" t="s">
        <v>740</v>
      </c>
      <c r="BK99" s="4" t="s">
        <v>699</v>
      </c>
    </row>
    <row r="100" spans="1:64" x14ac:dyDescent="0.4">
      <c r="A100" s="4" t="s">
        <v>63</v>
      </c>
      <c r="D100" s="1">
        <v>33.093899999999998</v>
      </c>
      <c r="I100" s="1">
        <v>3.8399700000000001</v>
      </c>
      <c r="N100" s="1">
        <v>69.428899999999999</v>
      </c>
      <c r="S100" s="1">
        <v>103.70699999999999</v>
      </c>
      <c r="AE100" s="4">
        <v>16</v>
      </c>
      <c r="AJ100" s="4">
        <v>36</v>
      </c>
      <c r="AQ100" s="4">
        <v>56</v>
      </c>
      <c r="AV100" s="4">
        <v>76</v>
      </c>
      <c r="BA100" s="4">
        <v>35</v>
      </c>
      <c r="BF100" s="4">
        <v>15</v>
      </c>
      <c r="BK100" s="4">
        <v>96</v>
      </c>
    </row>
    <row r="101" spans="1:64" x14ac:dyDescent="0.4">
      <c r="A101" s="4" t="s">
        <v>64</v>
      </c>
      <c r="D101" s="1">
        <v>34.144199999999998</v>
      </c>
      <c r="F101" s="4" t="s">
        <v>113</v>
      </c>
      <c r="I101" s="1">
        <v>2.4509400000000001</v>
      </c>
      <c r="K101" s="4" t="s">
        <v>215</v>
      </c>
      <c r="N101" s="1">
        <v>63.283900000000003</v>
      </c>
      <c r="P101" s="4" t="s">
        <v>316</v>
      </c>
      <c r="S101" s="1">
        <v>98.376000000000005</v>
      </c>
      <c r="U101" s="4" t="s">
        <v>422</v>
      </c>
      <c r="AE101" s="4" t="s">
        <v>443</v>
      </c>
      <c r="AF101" s="4" t="s">
        <v>564</v>
      </c>
      <c r="AJ101" s="4" t="s">
        <v>443</v>
      </c>
      <c r="AK101" s="4" t="s">
        <v>605</v>
      </c>
      <c r="AQ101" s="4" t="s">
        <v>443</v>
      </c>
      <c r="AR101" s="4" t="s">
        <v>646</v>
      </c>
      <c r="AV101" s="4" t="s">
        <v>443</v>
      </c>
      <c r="AW101" s="4" t="s">
        <v>687</v>
      </c>
      <c r="BA101" s="4" t="s">
        <v>443</v>
      </c>
      <c r="BB101" s="4" t="s">
        <v>810</v>
      </c>
      <c r="BF101" s="4" t="s">
        <v>443</v>
      </c>
      <c r="BG101" s="4" t="s">
        <v>769</v>
      </c>
      <c r="BK101" s="4" t="s">
        <v>443</v>
      </c>
      <c r="BL101" s="4" t="s">
        <v>728</v>
      </c>
    </row>
    <row r="102" spans="1:64" x14ac:dyDescent="0.4">
      <c r="A102" s="4" t="s">
        <v>65</v>
      </c>
      <c r="D102" s="1">
        <v>29.364100000000001</v>
      </c>
      <c r="F102" s="4">
        <v>9</v>
      </c>
      <c r="I102" s="1">
        <v>2.4330599999999998</v>
      </c>
      <c r="K102" s="4">
        <v>10</v>
      </c>
      <c r="N102" s="1">
        <v>68.9161</v>
      </c>
      <c r="P102" s="4">
        <v>5</v>
      </c>
      <c r="S102" s="1">
        <v>98.245099999999994</v>
      </c>
      <c r="U102" s="4">
        <v>3</v>
      </c>
      <c r="Z102" s="4" t="s">
        <v>476</v>
      </c>
      <c r="AE102" s="4" t="s">
        <v>445</v>
      </c>
      <c r="AF102" s="4" t="s">
        <v>565</v>
      </c>
      <c r="AJ102" s="4" t="s">
        <v>445</v>
      </c>
      <c r="AK102" s="4" t="s">
        <v>606</v>
      </c>
      <c r="AQ102" s="4" t="s">
        <v>445</v>
      </c>
      <c r="AR102" s="4" t="s">
        <v>647</v>
      </c>
      <c r="AV102" s="4" t="s">
        <v>445</v>
      </c>
      <c r="AW102" s="4" t="s">
        <v>688</v>
      </c>
      <c r="BA102" s="4" t="s">
        <v>445</v>
      </c>
      <c r="BB102" s="4" t="s">
        <v>811</v>
      </c>
      <c r="BF102" s="4" t="s">
        <v>445</v>
      </c>
      <c r="BG102" s="4" t="s">
        <v>770</v>
      </c>
      <c r="BK102" s="4" t="s">
        <v>445</v>
      </c>
      <c r="BL102" s="4" t="s">
        <v>729</v>
      </c>
    </row>
    <row r="103" spans="1:64" x14ac:dyDescent="0.4">
      <c r="A103" s="4" t="s">
        <v>66</v>
      </c>
      <c r="D103" s="1">
        <v>30.173100000000002</v>
      </c>
      <c r="F103" s="4" t="s">
        <v>158</v>
      </c>
      <c r="I103" s="1">
        <v>2.4371100000000001</v>
      </c>
      <c r="K103" s="4" t="s">
        <v>261</v>
      </c>
      <c r="N103" s="1">
        <v>70.39</v>
      </c>
      <c r="P103" s="4" t="s">
        <v>362</v>
      </c>
      <c r="S103" s="1">
        <v>98.412000000000006</v>
      </c>
      <c r="U103" s="4" t="s">
        <v>489</v>
      </c>
      <c r="V103" s="4" t="s">
        <v>490</v>
      </c>
      <c r="Z103" s="4">
        <v>8</v>
      </c>
    </row>
    <row r="104" spans="1:64" x14ac:dyDescent="0.4">
      <c r="A104" s="4" t="s">
        <v>67</v>
      </c>
      <c r="D104" s="1">
        <v>30.204999999999998</v>
      </c>
      <c r="F104" s="4" t="s">
        <v>159</v>
      </c>
      <c r="I104" s="1">
        <v>2.4340199999999999</v>
      </c>
      <c r="K104" s="4" t="s">
        <v>262</v>
      </c>
      <c r="N104" s="1">
        <v>62.377899999999997</v>
      </c>
      <c r="P104" s="4" t="s">
        <v>363</v>
      </c>
      <c r="S104" s="1">
        <v>98.137900000000002</v>
      </c>
      <c r="U104" s="4" t="s">
        <v>439</v>
      </c>
      <c r="V104" s="4" t="s">
        <v>472</v>
      </c>
      <c r="Z104" s="4" t="s">
        <v>437</v>
      </c>
      <c r="AA104" s="4" t="s">
        <v>531</v>
      </c>
      <c r="AE104" s="4" t="s">
        <v>535</v>
      </c>
      <c r="AJ104" s="4" t="s">
        <v>576</v>
      </c>
      <c r="AQ104" s="4" t="s">
        <v>617</v>
      </c>
      <c r="AV104" s="4" t="s">
        <v>658</v>
      </c>
      <c r="BA104" s="4" t="s">
        <v>781</v>
      </c>
      <c r="BF104" s="4" t="s">
        <v>740</v>
      </c>
      <c r="BK104" s="4" t="s">
        <v>699</v>
      </c>
    </row>
    <row r="105" spans="1:64" x14ac:dyDescent="0.4">
      <c r="D105" s="1">
        <v>29.629899999999999</v>
      </c>
      <c r="F105" s="4" t="s">
        <v>160</v>
      </c>
      <c r="I105" s="1">
        <v>2.4280499999999998</v>
      </c>
      <c r="K105" s="4" t="s">
        <v>263</v>
      </c>
      <c r="N105" s="1">
        <v>62.366</v>
      </c>
      <c r="P105" s="4" t="s">
        <v>364</v>
      </c>
      <c r="S105" s="1">
        <v>98.272099999999995</v>
      </c>
      <c r="U105" s="4" t="s">
        <v>441</v>
      </c>
      <c r="V105" s="4" t="s">
        <v>473</v>
      </c>
      <c r="Z105" s="4" t="s">
        <v>439</v>
      </c>
      <c r="AA105" s="4" t="s">
        <v>532</v>
      </c>
      <c r="AE105" s="4">
        <v>17</v>
      </c>
      <c r="AJ105" s="4">
        <v>37</v>
      </c>
      <c r="AQ105" s="4">
        <v>57</v>
      </c>
      <c r="AV105" s="4">
        <v>77</v>
      </c>
      <c r="BA105" s="4">
        <v>36</v>
      </c>
      <c r="BF105" s="4">
        <v>16</v>
      </c>
      <c r="BK105" s="4">
        <v>97</v>
      </c>
    </row>
    <row r="106" spans="1:64" x14ac:dyDescent="0.4">
      <c r="A106" s="4" t="s">
        <v>12</v>
      </c>
      <c r="D106" s="1">
        <v>36.239899999999999</v>
      </c>
      <c r="F106" s="4" t="s">
        <v>161</v>
      </c>
      <c r="I106" s="1">
        <v>2.4359199999999999</v>
      </c>
      <c r="K106" s="4" t="s">
        <v>264</v>
      </c>
      <c r="N106" s="1">
        <v>61.847900000000003</v>
      </c>
      <c r="P106" s="4" t="s">
        <v>365</v>
      </c>
      <c r="S106" s="1">
        <v>95.254900000000006</v>
      </c>
      <c r="U106" s="4" t="s">
        <v>443</v>
      </c>
      <c r="V106" s="4" t="s">
        <v>474</v>
      </c>
      <c r="Z106" s="4" t="s">
        <v>441</v>
      </c>
      <c r="AA106" s="4" t="s">
        <v>533</v>
      </c>
      <c r="AE106" s="4" t="s">
        <v>443</v>
      </c>
      <c r="AF106" s="4" t="s">
        <v>566</v>
      </c>
      <c r="AJ106" s="4" t="s">
        <v>443</v>
      </c>
      <c r="AK106" s="4" t="s">
        <v>607</v>
      </c>
      <c r="AQ106" s="4" t="s">
        <v>443</v>
      </c>
      <c r="AR106" s="4" t="s">
        <v>648</v>
      </c>
      <c r="AV106" s="4" t="s">
        <v>443</v>
      </c>
      <c r="AW106" s="4" t="s">
        <v>689</v>
      </c>
      <c r="BA106" s="4" t="s">
        <v>443</v>
      </c>
      <c r="BB106" s="4" t="s">
        <v>812</v>
      </c>
      <c r="BF106" s="4" t="s">
        <v>443</v>
      </c>
      <c r="BG106" s="4" t="s">
        <v>771</v>
      </c>
      <c r="BK106" s="4" t="s">
        <v>443</v>
      </c>
      <c r="BL106" s="4" t="s">
        <v>730</v>
      </c>
    </row>
    <row r="107" spans="1:64" x14ac:dyDescent="0.4">
      <c r="A107" s="4" t="s">
        <v>68</v>
      </c>
      <c r="D107" s="1">
        <v>32.632100000000001</v>
      </c>
      <c r="F107" s="4" t="s">
        <v>162</v>
      </c>
      <c r="I107" s="1">
        <v>2.43092</v>
      </c>
      <c r="K107" s="4" t="s">
        <v>265</v>
      </c>
      <c r="N107" s="1">
        <v>62.0852</v>
      </c>
      <c r="P107" s="4" t="s">
        <v>366</v>
      </c>
      <c r="S107" s="1">
        <v>96.316100000000006</v>
      </c>
      <c r="U107" s="4" t="s">
        <v>445</v>
      </c>
      <c r="V107" s="4" t="s">
        <v>475</v>
      </c>
      <c r="Z107" s="4" t="s">
        <v>443</v>
      </c>
      <c r="AA107" s="4" t="s">
        <v>534</v>
      </c>
      <c r="AE107" s="4" t="s">
        <v>445</v>
      </c>
      <c r="AF107" s="4" t="s">
        <v>567</v>
      </c>
      <c r="AJ107" s="4" t="s">
        <v>445</v>
      </c>
      <c r="AK107" s="4" t="s">
        <v>608</v>
      </c>
      <c r="AQ107" s="4" t="s">
        <v>445</v>
      </c>
      <c r="AR107" s="4" t="s">
        <v>649</v>
      </c>
      <c r="AV107" s="4" t="s">
        <v>445</v>
      </c>
      <c r="AW107" s="4" t="s">
        <v>690</v>
      </c>
      <c r="BA107" s="4" t="s">
        <v>445</v>
      </c>
      <c r="BB107" s="4" t="s">
        <v>813</v>
      </c>
      <c r="BF107" s="4" t="s">
        <v>445</v>
      </c>
      <c r="BG107" s="4" t="s">
        <v>772</v>
      </c>
      <c r="BK107" s="4" t="s">
        <v>445</v>
      </c>
      <c r="BL107" s="4" t="s">
        <v>731</v>
      </c>
    </row>
    <row r="108" spans="1:64" x14ac:dyDescent="0.4">
      <c r="A108" s="4" t="s">
        <v>69</v>
      </c>
      <c r="D108" s="1">
        <v>37.112000000000002</v>
      </c>
      <c r="I108" s="1">
        <v>2.4418799999999998</v>
      </c>
      <c r="N108" s="1">
        <v>61.960900000000002</v>
      </c>
      <c r="S108" s="1">
        <v>95.162899999999993</v>
      </c>
      <c r="Z108" s="4" t="s">
        <v>445</v>
      </c>
      <c r="AA108" s="4">
        <v>145.56899999999999</v>
      </c>
    </row>
    <row r="109" spans="1:64" x14ac:dyDescent="0.4">
      <c r="A109" s="4" t="s">
        <v>70</v>
      </c>
      <c r="D109" s="1">
        <v>38.060899999999997</v>
      </c>
      <c r="F109" s="4" t="s">
        <v>113</v>
      </c>
      <c r="I109" s="1">
        <v>3.61991</v>
      </c>
      <c r="K109" s="4" t="s">
        <v>215</v>
      </c>
      <c r="N109" s="1">
        <v>61.963999999999999</v>
      </c>
      <c r="P109" s="4" t="s">
        <v>316</v>
      </c>
      <c r="S109" s="1">
        <v>95.099900000000005</v>
      </c>
      <c r="AE109" s="4" t="s">
        <v>535</v>
      </c>
      <c r="AJ109" s="4" t="s">
        <v>576</v>
      </c>
      <c r="AQ109" s="4" t="s">
        <v>617</v>
      </c>
      <c r="AV109" s="4" t="s">
        <v>658</v>
      </c>
      <c r="BA109" s="4" t="s">
        <v>781</v>
      </c>
      <c r="BF109" s="4" t="s">
        <v>740</v>
      </c>
      <c r="BK109" s="4" t="s">
        <v>699</v>
      </c>
    </row>
    <row r="110" spans="1:64" x14ac:dyDescent="0.4">
      <c r="A110" s="4" t="s">
        <v>71</v>
      </c>
      <c r="D110" s="1">
        <v>34.755000000000003</v>
      </c>
      <c r="F110" s="4">
        <v>10</v>
      </c>
      <c r="I110" s="1">
        <v>3.7939500000000002</v>
      </c>
      <c r="K110" s="4">
        <v>1</v>
      </c>
      <c r="N110" s="1">
        <v>63.075099999999999</v>
      </c>
      <c r="P110" s="4">
        <v>1</v>
      </c>
      <c r="S110" s="1">
        <v>95.052999999999997</v>
      </c>
      <c r="AE110" s="4">
        <v>18</v>
      </c>
      <c r="AJ110" s="4">
        <v>38</v>
      </c>
      <c r="AQ110" s="4">
        <v>58</v>
      </c>
      <c r="AV110" s="4">
        <v>78</v>
      </c>
      <c r="BA110" s="4">
        <v>37</v>
      </c>
      <c r="BF110" s="4">
        <v>17</v>
      </c>
      <c r="BK110" s="4">
        <v>98</v>
      </c>
    </row>
    <row r="111" spans="1:64" x14ac:dyDescent="0.4">
      <c r="A111" s="4" t="s">
        <v>72</v>
      </c>
      <c r="D111" s="1">
        <v>34.774099999999997</v>
      </c>
      <c r="F111" s="4" t="s">
        <v>163</v>
      </c>
      <c r="I111" s="1">
        <v>2.4299599999999999</v>
      </c>
      <c r="K111" s="4" t="s">
        <v>266</v>
      </c>
      <c r="N111" s="1">
        <v>61.912999999999997</v>
      </c>
      <c r="P111" s="4" t="s">
        <v>372</v>
      </c>
      <c r="S111" s="1">
        <v>103.211</v>
      </c>
      <c r="AE111" s="4" t="s">
        <v>443</v>
      </c>
      <c r="AF111" s="4" t="s">
        <v>568</v>
      </c>
      <c r="AJ111" s="4" t="s">
        <v>443</v>
      </c>
      <c r="AK111" s="4" t="s">
        <v>609</v>
      </c>
      <c r="AQ111" s="4" t="s">
        <v>443</v>
      </c>
      <c r="AR111" s="4" t="s">
        <v>650</v>
      </c>
      <c r="AV111" s="4" t="s">
        <v>443</v>
      </c>
      <c r="AW111" s="4" t="s">
        <v>691</v>
      </c>
      <c r="BA111" s="4" t="s">
        <v>443</v>
      </c>
      <c r="BB111" s="4" t="s">
        <v>814</v>
      </c>
      <c r="BF111" s="4" t="s">
        <v>443</v>
      </c>
      <c r="BG111" s="4" t="s">
        <v>773</v>
      </c>
      <c r="BK111" s="4" t="s">
        <v>443</v>
      </c>
      <c r="BL111" s="4" t="s">
        <v>732</v>
      </c>
    </row>
    <row r="112" spans="1:64" x14ac:dyDescent="0.4">
      <c r="D112" s="1">
        <v>37.6952</v>
      </c>
      <c r="F112" s="4" t="s">
        <v>164</v>
      </c>
      <c r="I112" s="1">
        <v>3.5278800000000001</v>
      </c>
      <c r="K112" s="4" t="s">
        <v>267</v>
      </c>
      <c r="N112" s="1">
        <v>61.887999999999998</v>
      </c>
      <c r="P112" s="4" t="s">
        <v>373</v>
      </c>
      <c r="S112" s="1">
        <v>95.843999999999994</v>
      </c>
      <c r="AE112" s="4" t="s">
        <v>445</v>
      </c>
      <c r="AF112" s="4" t="s">
        <v>569</v>
      </c>
      <c r="AJ112" s="4" t="s">
        <v>445</v>
      </c>
      <c r="AK112" s="4" t="s">
        <v>610</v>
      </c>
      <c r="AQ112" s="4" t="s">
        <v>445</v>
      </c>
      <c r="AR112" s="4" t="s">
        <v>651</v>
      </c>
      <c r="AV112" s="4" t="s">
        <v>445</v>
      </c>
      <c r="AW112" s="4" t="s">
        <v>692</v>
      </c>
      <c r="BA112" s="4" t="s">
        <v>445</v>
      </c>
      <c r="BB112" s="4" t="s">
        <v>815</v>
      </c>
      <c r="BF112" s="4" t="s">
        <v>445</v>
      </c>
      <c r="BG112" s="4" t="s">
        <v>774</v>
      </c>
      <c r="BK112" s="4" t="s">
        <v>445</v>
      </c>
      <c r="BL112" s="4" t="s">
        <v>733</v>
      </c>
    </row>
    <row r="113" spans="1:64" x14ac:dyDescent="0.4">
      <c r="A113" s="4" t="s">
        <v>12</v>
      </c>
      <c r="D113" s="1">
        <v>32.65</v>
      </c>
      <c r="F113" s="4" t="s">
        <v>165</v>
      </c>
      <c r="I113" s="1">
        <v>2.4581</v>
      </c>
      <c r="K113" s="4" t="s">
        <v>268</v>
      </c>
      <c r="N113" s="1">
        <v>61.805999999999997</v>
      </c>
      <c r="P113" s="4" t="s">
        <v>374</v>
      </c>
      <c r="S113" s="1">
        <v>96.227199999999996</v>
      </c>
    </row>
    <row r="114" spans="1:64" x14ac:dyDescent="0.4">
      <c r="A114" s="4" t="s">
        <v>73</v>
      </c>
      <c r="D114" s="1">
        <v>30.594799999999999</v>
      </c>
      <c r="F114" s="4" t="s">
        <v>166</v>
      </c>
      <c r="I114" s="1">
        <v>2.4840800000000001</v>
      </c>
      <c r="K114" s="4" t="s">
        <v>269</v>
      </c>
      <c r="N114" s="1">
        <v>62.364100000000001</v>
      </c>
      <c r="P114" s="4" t="s">
        <v>375</v>
      </c>
      <c r="S114" s="1">
        <v>97.325999999999993</v>
      </c>
      <c r="AE114" s="4" t="s">
        <v>535</v>
      </c>
      <c r="AJ114" s="4" t="s">
        <v>576</v>
      </c>
      <c r="AQ114" s="4" t="s">
        <v>617</v>
      </c>
      <c r="AV114" s="4" t="s">
        <v>658</v>
      </c>
      <c r="BA114" s="4" t="s">
        <v>781</v>
      </c>
      <c r="BF114" s="4" t="s">
        <v>740</v>
      </c>
      <c r="BK114" s="4" t="s">
        <v>699</v>
      </c>
    </row>
    <row r="115" spans="1:64" x14ac:dyDescent="0.4">
      <c r="A115" s="4" t="s">
        <v>74</v>
      </c>
      <c r="D115" s="1">
        <v>29.697900000000001</v>
      </c>
      <c r="F115" s="4" t="s">
        <v>167</v>
      </c>
      <c r="I115" s="1">
        <v>2.4380700000000002</v>
      </c>
      <c r="K115" s="4" t="s">
        <v>270</v>
      </c>
      <c r="N115" s="1">
        <v>65.442999999999998</v>
      </c>
      <c r="P115" s="4" t="s">
        <v>376</v>
      </c>
      <c r="S115" s="1">
        <v>95.108000000000004</v>
      </c>
      <c r="AE115" s="4">
        <v>19</v>
      </c>
      <c r="AJ115" s="4">
        <v>39</v>
      </c>
      <c r="AQ115" s="4">
        <v>59</v>
      </c>
      <c r="AV115" s="4">
        <v>79</v>
      </c>
      <c r="BA115" s="4">
        <v>38</v>
      </c>
      <c r="BF115" s="4">
        <v>18</v>
      </c>
      <c r="BK115" s="4">
        <v>99</v>
      </c>
    </row>
    <row r="116" spans="1:64" x14ac:dyDescent="0.4">
      <c r="A116" s="4" t="s">
        <v>75</v>
      </c>
      <c r="D116" s="5"/>
      <c r="I116" s="5"/>
      <c r="N116" s="5"/>
      <c r="S116" s="5"/>
      <c r="AE116" s="4" t="s">
        <v>443</v>
      </c>
      <c r="AF116" s="4" t="s">
        <v>570</v>
      </c>
      <c r="AJ116" s="4" t="s">
        <v>443</v>
      </c>
      <c r="AK116" s="4" t="s">
        <v>611</v>
      </c>
      <c r="AQ116" s="4" t="s">
        <v>443</v>
      </c>
      <c r="AR116" s="4" t="s">
        <v>652</v>
      </c>
      <c r="AV116" s="4" t="s">
        <v>443</v>
      </c>
      <c r="AW116" s="4" t="s">
        <v>693</v>
      </c>
      <c r="BA116" s="4" t="s">
        <v>443</v>
      </c>
      <c r="BB116" s="4" t="s">
        <v>816</v>
      </c>
      <c r="BF116" s="4" t="s">
        <v>443</v>
      </c>
      <c r="BG116" s="4" t="s">
        <v>775</v>
      </c>
      <c r="BK116" s="4" t="s">
        <v>443</v>
      </c>
      <c r="BL116" s="4" t="s">
        <v>734</v>
      </c>
    </row>
    <row r="117" spans="1:64" x14ac:dyDescent="0.4">
      <c r="A117" s="4" t="s">
        <v>76</v>
      </c>
      <c r="D117" s="1" t="s">
        <v>371</v>
      </c>
      <c r="F117" s="4" t="s">
        <v>113</v>
      </c>
      <c r="I117" s="1" t="s">
        <v>371</v>
      </c>
      <c r="K117" s="4" t="s">
        <v>215</v>
      </c>
      <c r="N117" s="1" t="s">
        <v>371</v>
      </c>
      <c r="P117" s="4" t="s">
        <v>316</v>
      </c>
      <c r="S117" s="1" t="s">
        <v>371</v>
      </c>
      <c r="AE117" s="4" t="s">
        <v>445</v>
      </c>
      <c r="AF117" s="4" t="s">
        <v>571</v>
      </c>
      <c r="AJ117" s="4" t="s">
        <v>445</v>
      </c>
      <c r="AK117" s="4" t="s">
        <v>612</v>
      </c>
      <c r="AQ117" s="4" t="s">
        <v>445</v>
      </c>
      <c r="AR117" s="4" t="s">
        <v>653</v>
      </c>
      <c r="AV117" s="4" t="s">
        <v>445</v>
      </c>
      <c r="AW117" s="4" t="s">
        <v>694</v>
      </c>
      <c r="BA117" s="4" t="s">
        <v>445</v>
      </c>
      <c r="BB117" s="4" t="s">
        <v>817</v>
      </c>
      <c r="BF117" s="4" t="s">
        <v>445</v>
      </c>
      <c r="BG117" s="4" t="s">
        <v>776</v>
      </c>
      <c r="BK117" s="4" t="s">
        <v>445</v>
      </c>
      <c r="BL117" s="4" t="s">
        <v>735</v>
      </c>
    </row>
    <row r="118" spans="1:64" x14ac:dyDescent="0.4">
      <c r="A118" s="4" t="s">
        <v>77</v>
      </c>
      <c r="D118" s="1">
        <v>24.475100000000001</v>
      </c>
      <c r="F118" s="4">
        <v>11</v>
      </c>
      <c r="I118" s="1">
        <v>1.9509799999999999</v>
      </c>
      <c r="K118" s="4">
        <v>2</v>
      </c>
      <c r="N118" s="1">
        <v>57.469799999999999</v>
      </c>
      <c r="P118" s="4">
        <v>2</v>
      </c>
      <c r="S118" s="1">
        <v>82.700999999999993</v>
      </c>
    </row>
    <row r="119" spans="1:64" x14ac:dyDescent="0.4">
      <c r="D119" s="1">
        <v>25.1889</v>
      </c>
      <c r="F119" s="4" t="s">
        <v>168</v>
      </c>
      <c r="I119" s="1">
        <v>2.06304</v>
      </c>
      <c r="K119" s="4" t="s">
        <v>271</v>
      </c>
      <c r="N119" s="1">
        <v>61.372999999999998</v>
      </c>
      <c r="P119" s="4" t="s">
        <v>377</v>
      </c>
      <c r="S119" s="1">
        <v>82.093000000000004</v>
      </c>
      <c r="AE119" s="4" t="s">
        <v>535</v>
      </c>
      <c r="AJ119" s="4" t="s">
        <v>576</v>
      </c>
      <c r="AQ119" s="4" t="s">
        <v>617</v>
      </c>
      <c r="AV119" s="4" t="s">
        <v>658</v>
      </c>
      <c r="BA119" s="4" t="s">
        <v>781</v>
      </c>
      <c r="BF119" s="4" t="s">
        <v>740</v>
      </c>
      <c r="BK119" s="4" t="s">
        <v>699</v>
      </c>
    </row>
    <row r="120" spans="1:64" x14ac:dyDescent="0.4">
      <c r="A120" s="4" t="s">
        <v>12</v>
      </c>
      <c r="D120" s="1">
        <v>25.872900000000001</v>
      </c>
      <c r="F120" s="4" t="s">
        <v>169</v>
      </c>
      <c r="I120" s="1">
        <v>1.9569399999999999</v>
      </c>
      <c r="K120" s="4" t="s">
        <v>272</v>
      </c>
      <c r="N120" s="1">
        <v>55.6631</v>
      </c>
      <c r="P120" s="4" t="s">
        <v>378</v>
      </c>
      <c r="S120" s="1">
        <v>80.695899999999995</v>
      </c>
      <c r="AE120" s="4">
        <v>20</v>
      </c>
      <c r="AJ120" s="4">
        <v>40</v>
      </c>
      <c r="AQ120" s="4">
        <v>60</v>
      </c>
      <c r="AV120" s="4">
        <v>80</v>
      </c>
      <c r="BA120" s="4">
        <v>39</v>
      </c>
      <c r="BF120" s="4">
        <v>19</v>
      </c>
      <c r="BK120" s="4">
        <v>100</v>
      </c>
    </row>
    <row r="121" spans="1:64" x14ac:dyDescent="0.4">
      <c r="A121" s="4" t="s">
        <v>78</v>
      </c>
      <c r="D121" s="1">
        <v>27.0472</v>
      </c>
      <c r="F121" s="4" t="s">
        <v>170</v>
      </c>
      <c r="I121" s="1">
        <v>3.02196</v>
      </c>
      <c r="K121" s="4" t="s">
        <v>273</v>
      </c>
      <c r="N121" s="1">
        <v>54.326099999999997</v>
      </c>
      <c r="P121" s="4" t="s">
        <v>379</v>
      </c>
      <c r="S121" s="1">
        <v>81.075900000000004</v>
      </c>
      <c r="AE121" s="4" t="s">
        <v>443</v>
      </c>
      <c r="AF121" s="4" t="s">
        <v>572</v>
      </c>
      <c r="AJ121" s="4" t="s">
        <v>443</v>
      </c>
      <c r="AK121" s="4" t="s">
        <v>613</v>
      </c>
      <c r="AQ121" s="4" t="s">
        <v>443</v>
      </c>
      <c r="AR121" s="4" t="s">
        <v>654</v>
      </c>
      <c r="AV121" s="4" t="s">
        <v>443</v>
      </c>
      <c r="AW121" s="4" t="s">
        <v>695</v>
      </c>
      <c r="BA121" s="4" t="s">
        <v>443</v>
      </c>
      <c r="BB121" s="4" t="s">
        <v>818</v>
      </c>
      <c r="BF121" s="4" t="s">
        <v>443</v>
      </c>
      <c r="BG121" s="4" t="s">
        <v>777</v>
      </c>
      <c r="BK121" s="4" t="s">
        <v>443</v>
      </c>
      <c r="BL121" s="4" t="s">
        <v>736</v>
      </c>
    </row>
    <row r="122" spans="1:64" x14ac:dyDescent="0.4">
      <c r="A122" s="4" t="s">
        <v>79</v>
      </c>
      <c r="D122" s="1">
        <v>24.579000000000001</v>
      </c>
      <c r="F122" s="4" t="s">
        <v>171</v>
      </c>
      <c r="I122" s="1">
        <v>2.8870100000000001</v>
      </c>
      <c r="K122" s="4" t="s">
        <v>274</v>
      </c>
      <c r="N122" s="1">
        <v>56.134</v>
      </c>
      <c r="P122" s="4" t="s">
        <v>380</v>
      </c>
      <c r="S122" s="1">
        <v>86.679900000000004</v>
      </c>
      <c r="AE122" s="4" t="s">
        <v>445</v>
      </c>
      <c r="AF122" s="4" t="s">
        <v>573</v>
      </c>
      <c r="AJ122" s="4" t="s">
        <v>445</v>
      </c>
      <c r="AK122" s="4" t="s">
        <v>614</v>
      </c>
      <c r="AQ122" s="4" t="s">
        <v>445</v>
      </c>
      <c r="AR122" s="4" t="s">
        <v>655</v>
      </c>
      <c r="AV122" s="4" t="s">
        <v>445</v>
      </c>
      <c r="AW122" s="4" t="s">
        <v>696</v>
      </c>
      <c r="BA122" s="4" t="s">
        <v>445</v>
      </c>
      <c r="BB122" s="4" t="s">
        <v>819</v>
      </c>
      <c r="BF122" s="4" t="s">
        <v>445</v>
      </c>
      <c r="BG122" s="4" t="s">
        <v>778</v>
      </c>
      <c r="BK122" s="4" t="s">
        <v>445</v>
      </c>
      <c r="BL122" s="4" t="s">
        <v>737</v>
      </c>
    </row>
    <row r="123" spans="1:64" x14ac:dyDescent="0.4">
      <c r="A123" s="4" t="s">
        <v>80</v>
      </c>
      <c r="D123" s="1">
        <v>28.677900000000001</v>
      </c>
      <c r="F123" s="4" t="s">
        <v>172</v>
      </c>
      <c r="I123" s="1">
        <v>2.77305</v>
      </c>
      <c r="K123" s="4" t="s">
        <v>275</v>
      </c>
      <c r="N123" s="1">
        <v>66.353800000000007</v>
      </c>
      <c r="P123" s="4" t="s">
        <v>381</v>
      </c>
      <c r="S123" s="1">
        <v>84.482900000000001</v>
      </c>
    </row>
    <row r="124" spans="1:64" x14ac:dyDescent="0.4">
      <c r="A124" s="4" t="s">
        <v>81</v>
      </c>
      <c r="D124" s="1">
        <v>31.254999999999999</v>
      </c>
      <c r="I124" s="1">
        <v>2.0029499999999998</v>
      </c>
      <c r="N124" s="1">
        <v>62.34</v>
      </c>
      <c r="S124" s="1">
        <v>84.134100000000004</v>
      </c>
      <c r="AE124" s="4" t="s">
        <v>535</v>
      </c>
      <c r="AJ124" s="4" t="s">
        <v>576</v>
      </c>
      <c r="AQ124" s="4" t="s">
        <v>617</v>
      </c>
      <c r="AV124" s="4" t="s">
        <v>658</v>
      </c>
      <c r="BA124" s="4" t="s">
        <v>781</v>
      </c>
      <c r="BF124" s="4" t="s">
        <v>740</v>
      </c>
      <c r="BK124" s="4" t="s">
        <v>699</v>
      </c>
    </row>
    <row r="125" spans="1:64" x14ac:dyDescent="0.4">
      <c r="A125" s="4" t="s">
        <v>82</v>
      </c>
      <c r="D125" s="1">
        <v>25.074000000000002</v>
      </c>
      <c r="F125" s="4" t="s">
        <v>113</v>
      </c>
      <c r="I125" s="1">
        <v>2.0379999999999998</v>
      </c>
      <c r="K125" s="4" t="s">
        <v>215</v>
      </c>
      <c r="N125" s="1">
        <v>66.745000000000005</v>
      </c>
      <c r="P125" s="4" t="s">
        <v>316</v>
      </c>
      <c r="S125" s="1">
        <v>84.752799999999993</v>
      </c>
      <c r="AE125" s="4">
        <v>21</v>
      </c>
      <c r="AJ125" s="4">
        <v>41</v>
      </c>
      <c r="AQ125" s="4">
        <v>61</v>
      </c>
      <c r="AV125" s="4">
        <v>81</v>
      </c>
      <c r="BA125" s="4">
        <v>40</v>
      </c>
      <c r="BF125" s="4">
        <v>20</v>
      </c>
      <c r="BK125" s="4">
        <v>101</v>
      </c>
    </row>
    <row r="126" spans="1:64" x14ac:dyDescent="0.4">
      <c r="D126" s="1">
        <v>24.8489</v>
      </c>
      <c r="F126" s="4">
        <v>12</v>
      </c>
      <c r="I126" s="1">
        <v>2.0239400000000001</v>
      </c>
      <c r="K126" s="4">
        <v>3</v>
      </c>
      <c r="N126" s="1">
        <v>60.494900000000001</v>
      </c>
      <c r="P126" s="4">
        <v>3</v>
      </c>
      <c r="S126" s="1">
        <v>82.013800000000003</v>
      </c>
      <c r="AE126" s="4" t="s">
        <v>443</v>
      </c>
      <c r="AF126" s="4" t="s">
        <v>574</v>
      </c>
      <c r="AJ126" s="4" t="s">
        <v>443</v>
      </c>
      <c r="AK126" s="4" t="s">
        <v>615</v>
      </c>
      <c r="AQ126" s="4" t="s">
        <v>443</v>
      </c>
      <c r="AR126" s="4" t="s">
        <v>656</v>
      </c>
      <c r="AV126" s="4" t="s">
        <v>443</v>
      </c>
      <c r="AW126" s="4" t="s">
        <v>697</v>
      </c>
      <c r="BA126" s="4" t="s">
        <v>443</v>
      </c>
      <c r="BB126" s="4" t="s">
        <v>820</v>
      </c>
      <c r="BF126" s="4" t="s">
        <v>443</v>
      </c>
      <c r="BG126" s="4" t="s">
        <v>779</v>
      </c>
      <c r="BK126" s="4" t="s">
        <v>443</v>
      </c>
      <c r="BL126" s="4" t="s">
        <v>738</v>
      </c>
    </row>
    <row r="127" spans="1:64" x14ac:dyDescent="0.4">
      <c r="A127" s="4" t="s">
        <v>12</v>
      </c>
      <c r="D127" s="1">
        <v>24.954999999999998</v>
      </c>
      <c r="F127" s="4" t="s">
        <v>173</v>
      </c>
      <c r="I127" s="1">
        <v>2.1040399999999999</v>
      </c>
      <c r="K127" s="4" t="s">
        <v>276</v>
      </c>
      <c r="N127" s="1">
        <v>65.334999999999994</v>
      </c>
      <c r="P127" s="4" t="s">
        <v>382</v>
      </c>
      <c r="S127" s="1">
        <v>83.194999999999993</v>
      </c>
      <c r="AE127" s="4" t="s">
        <v>445</v>
      </c>
      <c r="AF127" s="4" t="s">
        <v>575</v>
      </c>
      <c r="AJ127" s="4" t="s">
        <v>445</v>
      </c>
      <c r="AK127" s="4" t="s">
        <v>616</v>
      </c>
      <c r="AQ127" s="4" t="s">
        <v>445</v>
      </c>
      <c r="AR127" s="4" t="s">
        <v>657</v>
      </c>
      <c r="AV127" s="4" t="s">
        <v>445</v>
      </c>
      <c r="AW127" s="4" t="s">
        <v>698</v>
      </c>
      <c r="BA127" s="4" t="s">
        <v>445</v>
      </c>
      <c r="BB127" s="4" t="s">
        <v>821</v>
      </c>
      <c r="BF127" s="4" t="s">
        <v>445</v>
      </c>
      <c r="BG127" s="4" t="s">
        <v>780</v>
      </c>
      <c r="BK127" s="4" t="s">
        <v>445</v>
      </c>
      <c r="BL127" s="4" t="s">
        <v>739</v>
      </c>
    </row>
    <row r="128" spans="1:64" x14ac:dyDescent="0.4">
      <c r="A128" s="4" t="s">
        <v>83</v>
      </c>
      <c r="D128" s="1">
        <v>25.911100000000001</v>
      </c>
      <c r="F128" s="4" t="s">
        <v>174</v>
      </c>
      <c r="I128" s="1">
        <v>1.9581299999999999</v>
      </c>
      <c r="K128" s="4" t="s">
        <v>277</v>
      </c>
      <c r="N128" s="1">
        <v>53.076999999999998</v>
      </c>
      <c r="P128" s="4" t="s">
        <v>383</v>
      </c>
      <c r="S128" s="1">
        <v>85.241799999999998</v>
      </c>
    </row>
    <row r="129" spans="1:19" x14ac:dyDescent="0.4">
      <c r="A129" s="4" t="s">
        <v>84</v>
      </c>
      <c r="D129" s="1">
        <v>30.071999999999999</v>
      </c>
      <c r="F129" s="4" t="s">
        <v>175</v>
      </c>
      <c r="I129" s="1">
        <v>1.98007</v>
      </c>
      <c r="K129" s="4" t="s">
        <v>278</v>
      </c>
      <c r="N129" s="1">
        <v>67.515100000000004</v>
      </c>
      <c r="P129" s="4" t="s">
        <v>384</v>
      </c>
      <c r="S129" s="1">
        <v>85.164100000000005</v>
      </c>
    </row>
    <row r="130" spans="1:19" x14ac:dyDescent="0.4">
      <c r="A130" s="4" t="s">
        <v>85</v>
      </c>
      <c r="D130" s="1">
        <v>24.6401</v>
      </c>
      <c r="F130" s="4" t="s">
        <v>176</v>
      </c>
      <c r="I130" s="1">
        <v>2.0968900000000001</v>
      </c>
      <c r="K130" s="4" t="s">
        <v>279</v>
      </c>
      <c r="N130" s="1">
        <v>54.722999999999999</v>
      </c>
      <c r="P130" s="4" t="s">
        <v>385</v>
      </c>
      <c r="S130" s="1">
        <v>82.927000000000007</v>
      </c>
    </row>
    <row r="131" spans="1:19" x14ac:dyDescent="0.4">
      <c r="A131" s="4" t="s">
        <v>86</v>
      </c>
      <c r="D131" s="1">
        <v>26.001000000000001</v>
      </c>
      <c r="F131" s="4" t="s">
        <v>177</v>
      </c>
      <c r="I131" s="1">
        <v>2.0527799999999998</v>
      </c>
      <c r="K131" s="4" t="s">
        <v>280</v>
      </c>
      <c r="N131" s="1">
        <v>53.995800000000003</v>
      </c>
      <c r="P131" s="4" t="s">
        <v>386</v>
      </c>
      <c r="S131" s="1">
        <v>82.634</v>
      </c>
    </row>
    <row r="132" spans="1:19" x14ac:dyDescent="0.4">
      <c r="A132" s="4" t="s">
        <v>87</v>
      </c>
      <c r="D132" s="1">
        <v>25.969000000000001</v>
      </c>
      <c r="I132" s="1">
        <v>3.08108</v>
      </c>
      <c r="N132" s="1">
        <v>56.850900000000003</v>
      </c>
      <c r="S132" s="1">
        <v>81.320999999999998</v>
      </c>
    </row>
    <row r="133" spans="1:19" x14ac:dyDescent="0.4">
      <c r="D133" s="1">
        <v>25.672899999999998</v>
      </c>
      <c r="F133" s="4" t="s">
        <v>113</v>
      </c>
      <c r="I133" s="1">
        <v>2.00915</v>
      </c>
      <c r="K133" s="4" t="s">
        <v>215</v>
      </c>
      <c r="N133" s="1">
        <v>57.444099999999999</v>
      </c>
      <c r="P133" s="4" t="s">
        <v>316</v>
      </c>
      <c r="S133" s="1">
        <v>85.376000000000005</v>
      </c>
    </row>
    <row r="134" spans="1:19" x14ac:dyDescent="0.4">
      <c r="A134" s="4" t="s">
        <v>12</v>
      </c>
      <c r="D134" s="1">
        <v>24.9221</v>
      </c>
      <c r="F134" s="4">
        <v>13</v>
      </c>
      <c r="I134" s="1">
        <v>3.3910300000000002</v>
      </c>
      <c r="K134" s="4">
        <v>4</v>
      </c>
      <c r="N134" s="1">
        <v>55.008899999999997</v>
      </c>
      <c r="P134" s="4">
        <v>4</v>
      </c>
      <c r="S134" s="1">
        <v>87.424999999999997</v>
      </c>
    </row>
    <row r="135" spans="1:19" x14ac:dyDescent="0.4">
      <c r="A135" s="4" t="s">
        <v>88</v>
      </c>
      <c r="D135" s="1">
        <v>25.3019</v>
      </c>
      <c r="F135" s="4" t="s">
        <v>178</v>
      </c>
      <c r="I135" s="1">
        <v>1.9700500000000001</v>
      </c>
      <c r="K135" s="4" t="s">
        <v>281</v>
      </c>
      <c r="N135" s="1">
        <v>55.053899999999999</v>
      </c>
      <c r="P135" s="4" t="s">
        <v>387</v>
      </c>
      <c r="S135" s="1">
        <v>86.298000000000002</v>
      </c>
    </row>
    <row r="136" spans="1:19" x14ac:dyDescent="0.4">
      <c r="A136" s="4" t="s">
        <v>89</v>
      </c>
      <c r="D136" s="1">
        <v>31.704899999999999</v>
      </c>
      <c r="F136" s="4" t="s">
        <v>179</v>
      </c>
      <c r="I136" s="1">
        <v>2.02894</v>
      </c>
      <c r="K136" s="4" t="s">
        <v>282</v>
      </c>
      <c r="N136" s="1">
        <v>53.680900000000001</v>
      </c>
      <c r="P136" s="4" t="s">
        <v>388</v>
      </c>
      <c r="S136" s="1">
        <v>83.358000000000004</v>
      </c>
    </row>
    <row r="137" spans="1:19" x14ac:dyDescent="0.4">
      <c r="A137" s="4" t="s">
        <v>90</v>
      </c>
      <c r="D137" s="1">
        <v>29.669</v>
      </c>
      <c r="F137" s="4" t="s">
        <v>180</v>
      </c>
      <c r="I137" s="1">
        <v>2.06399</v>
      </c>
      <c r="K137" s="4" t="s">
        <v>283</v>
      </c>
      <c r="N137" s="1">
        <v>60.685899999999997</v>
      </c>
      <c r="P137" s="4" t="s">
        <v>389</v>
      </c>
      <c r="S137" s="1">
        <v>86.943100000000001</v>
      </c>
    </row>
    <row r="138" spans="1:19" x14ac:dyDescent="0.4">
      <c r="A138" s="4" t="s">
        <v>91</v>
      </c>
      <c r="F138" s="4" t="s">
        <v>181</v>
      </c>
      <c r="K138" s="4" t="s">
        <v>284</v>
      </c>
      <c r="P138" s="4" t="s">
        <v>390</v>
      </c>
    </row>
    <row r="139" spans="1:19" x14ac:dyDescent="0.4">
      <c r="A139" s="4" t="s">
        <v>92</v>
      </c>
      <c r="F139" s="4" t="s">
        <v>182</v>
      </c>
      <c r="K139" s="4" t="s">
        <v>285</v>
      </c>
      <c r="P139" s="4" t="s">
        <v>391</v>
      </c>
    </row>
    <row r="141" spans="1:19" x14ac:dyDescent="0.4">
      <c r="A141" s="4" t="s">
        <v>12</v>
      </c>
      <c r="F141" s="4" t="s">
        <v>113</v>
      </c>
      <c r="K141" s="4" t="s">
        <v>215</v>
      </c>
      <c r="P141" s="4" t="s">
        <v>316</v>
      </c>
    </row>
    <row r="142" spans="1:19" x14ac:dyDescent="0.4">
      <c r="A142" s="4" t="s">
        <v>93</v>
      </c>
      <c r="F142" s="4">
        <v>14</v>
      </c>
      <c r="K142" s="4">
        <v>5</v>
      </c>
      <c r="P142" s="4">
        <v>5</v>
      </c>
    </row>
    <row r="143" spans="1:19" x14ac:dyDescent="0.4">
      <c r="A143" s="4" t="s">
        <v>94</v>
      </c>
      <c r="F143" s="4" t="s">
        <v>183</v>
      </c>
      <c r="K143" s="4" t="s">
        <v>286</v>
      </c>
      <c r="P143" s="4" t="s">
        <v>392</v>
      </c>
    </row>
    <row r="144" spans="1:19" x14ac:dyDescent="0.4">
      <c r="A144" s="4" t="s">
        <v>95</v>
      </c>
      <c r="F144" s="4" t="s">
        <v>184</v>
      </c>
      <c r="K144" s="4" t="s">
        <v>287</v>
      </c>
      <c r="P144" s="4" t="s">
        <v>393</v>
      </c>
    </row>
    <row r="145" spans="1:16" x14ac:dyDescent="0.4">
      <c r="A145" s="4" t="s">
        <v>96</v>
      </c>
      <c r="F145" s="4" t="s">
        <v>185</v>
      </c>
      <c r="K145" s="4" t="s">
        <v>288</v>
      </c>
      <c r="P145" s="4" t="s">
        <v>394</v>
      </c>
    </row>
    <row r="146" spans="1:16" x14ac:dyDescent="0.4">
      <c r="A146" s="4" t="s">
        <v>97</v>
      </c>
      <c r="F146" s="4" t="s">
        <v>186</v>
      </c>
      <c r="K146" s="4" t="s">
        <v>289</v>
      </c>
      <c r="P146" s="4" t="s">
        <v>395</v>
      </c>
    </row>
    <row r="147" spans="1:16" x14ac:dyDescent="0.4">
      <c r="F147" s="4" t="s">
        <v>187</v>
      </c>
      <c r="K147" s="4" t="s">
        <v>290</v>
      </c>
      <c r="P147" s="4" t="s">
        <v>396</v>
      </c>
    </row>
    <row r="148" spans="1:16" x14ac:dyDescent="0.4">
      <c r="A148" s="4" t="s">
        <v>12</v>
      </c>
    </row>
    <row r="149" spans="1:16" x14ac:dyDescent="0.4">
      <c r="A149" s="4" t="s">
        <v>98</v>
      </c>
      <c r="F149" s="4" t="s">
        <v>113</v>
      </c>
      <c r="K149" s="4" t="s">
        <v>215</v>
      </c>
      <c r="P149" s="4" t="s">
        <v>316</v>
      </c>
    </row>
    <row r="150" spans="1:16" x14ac:dyDescent="0.4">
      <c r="A150" s="4" t="s">
        <v>99</v>
      </c>
      <c r="F150" s="4">
        <v>15</v>
      </c>
      <c r="K150" s="4">
        <v>6</v>
      </c>
      <c r="P150" s="4">
        <v>6</v>
      </c>
    </row>
    <row r="151" spans="1:16" x14ac:dyDescent="0.4">
      <c r="A151" s="4" t="s">
        <v>100</v>
      </c>
      <c r="F151" s="4" t="s">
        <v>188</v>
      </c>
      <c r="K151" s="4" t="s">
        <v>291</v>
      </c>
      <c r="P151" s="4" t="s">
        <v>397</v>
      </c>
    </row>
    <row r="152" spans="1:16" x14ac:dyDescent="0.4">
      <c r="A152" s="4" t="s">
        <v>101</v>
      </c>
      <c r="F152" s="4" t="s">
        <v>189</v>
      </c>
      <c r="K152" s="4" t="s">
        <v>292</v>
      </c>
      <c r="P152" s="4" t="s">
        <v>398</v>
      </c>
    </row>
    <row r="153" spans="1:16" x14ac:dyDescent="0.4">
      <c r="A153" s="4" t="s">
        <v>102</v>
      </c>
      <c r="F153" s="4" t="s">
        <v>190</v>
      </c>
      <c r="K153" s="4" t="s">
        <v>293</v>
      </c>
      <c r="P153" s="4" t="s">
        <v>399</v>
      </c>
    </row>
    <row r="154" spans="1:16" x14ac:dyDescent="0.4">
      <c r="F154" s="4" t="s">
        <v>191</v>
      </c>
      <c r="K154" s="4" t="s">
        <v>294</v>
      </c>
      <c r="P154" s="4" t="s">
        <v>400</v>
      </c>
    </row>
    <row r="155" spans="1:16" x14ac:dyDescent="0.4">
      <c r="A155" s="4" t="s">
        <v>12</v>
      </c>
      <c r="F155" s="4" t="s">
        <v>192</v>
      </c>
      <c r="K155" s="4" t="s">
        <v>295</v>
      </c>
      <c r="P155" s="4" t="s">
        <v>401</v>
      </c>
    </row>
    <row r="156" spans="1:16" x14ac:dyDescent="0.4">
      <c r="A156" s="4" t="s">
        <v>103</v>
      </c>
    </row>
    <row r="157" spans="1:16" x14ac:dyDescent="0.4">
      <c r="A157" s="4" t="s">
        <v>104</v>
      </c>
      <c r="F157" s="4" t="s">
        <v>113</v>
      </c>
      <c r="K157" s="4" t="s">
        <v>215</v>
      </c>
      <c r="P157" s="4" t="s">
        <v>316</v>
      </c>
    </row>
    <row r="158" spans="1:16" x14ac:dyDescent="0.4">
      <c r="A158" s="4" t="s">
        <v>105</v>
      </c>
      <c r="F158" s="4">
        <v>16</v>
      </c>
      <c r="K158" s="4">
        <v>7</v>
      </c>
      <c r="P158" s="4">
        <v>7</v>
      </c>
    </row>
    <row r="159" spans="1:16" x14ac:dyDescent="0.4">
      <c r="A159" s="4" t="s">
        <v>106</v>
      </c>
      <c r="F159" s="4" t="s">
        <v>193</v>
      </c>
      <c r="K159" s="4" t="s">
        <v>296</v>
      </c>
      <c r="P159" s="4" t="s">
        <v>402</v>
      </c>
    </row>
    <row r="160" spans="1:16" x14ac:dyDescent="0.4">
      <c r="A160" s="4" t="s">
        <v>107</v>
      </c>
      <c r="F160" s="4" t="s">
        <v>194</v>
      </c>
      <c r="K160" s="4" t="s">
        <v>297</v>
      </c>
      <c r="P160" s="4" t="s">
        <v>403</v>
      </c>
    </row>
    <row r="161" spans="1:16" x14ac:dyDescent="0.4">
      <c r="F161" s="4" t="s">
        <v>195</v>
      </c>
      <c r="K161" s="4" t="s">
        <v>298</v>
      </c>
      <c r="P161" s="4" t="s">
        <v>404</v>
      </c>
    </row>
    <row r="162" spans="1:16" x14ac:dyDescent="0.4">
      <c r="A162" s="4" t="s">
        <v>12</v>
      </c>
      <c r="F162" s="4" t="s">
        <v>196</v>
      </c>
      <c r="K162" s="4" t="s">
        <v>299</v>
      </c>
      <c r="P162" s="4" t="s">
        <v>405</v>
      </c>
    </row>
    <row r="163" spans="1:16" x14ac:dyDescent="0.4">
      <c r="A163" s="4" t="s">
        <v>108</v>
      </c>
      <c r="F163" s="4" t="s">
        <v>197</v>
      </c>
      <c r="K163" s="4" t="s">
        <v>300</v>
      </c>
      <c r="P163" s="4" t="s">
        <v>406</v>
      </c>
    </row>
    <row r="164" spans="1:16" x14ac:dyDescent="0.4">
      <c r="A164" s="4" t="s">
        <v>109</v>
      </c>
    </row>
    <row r="165" spans="1:16" x14ac:dyDescent="0.4">
      <c r="A165" s="4" t="s">
        <v>110</v>
      </c>
      <c r="F165" s="4" t="s">
        <v>113</v>
      </c>
      <c r="K165" s="4" t="s">
        <v>215</v>
      </c>
      <c r="P165" s="4" t="s">
        <v>316</v>
      </c>
    </row>
    <row r="166" spans="1:16" x14ac:dyDescent="0.4">
      <c r="A166" s="4" t="s">
        <v>111</v>
      </c>
      <c r="F166" s="4">
        <v>17</v>
      </c>
      <c r="K166" s="4">
        <v>8</v>
      </c>
      <c r="P166" s="4">
        <v>8</v>
      </c>
    </row>
    <row r="167" spans="1:16" x14ac:dyDescent="0.4">
      <c r="A167" s="4" t="s">
        <v>112</v>
      </c>
      <c r="F167" s="4" t="s">
        <v>198</v>
      </c>
      <c r="K167" s="4" t="s">
        <v>301</v>
      </c>
      <c r="P167" s="4" t="s">
        <v>407</v>
      </c>
    </row>
    <row r="168" spans="1:16" x14ac:dyDescent="0.4">
      <c r="F168" s="4" t="s">
        <v>199</v>
      </c>
      <c r="K168" s="4" t="s">
        <v>302</v>
      </c>
      <c r="P168" s="4" t="s">
        <v>408</v>
      </c>
    </row>
    <row r="169" spans="1:16" x14ac:dyDescent="0.4">
      <c r="F169" s="4" t="s">
        <v>200</v>
      </c>
      <c r="K169" s="4" t="s">
        <v>303</v>
      </c>
      <c r="P169" s="4" t="s">
        <v>409</v>
      </c>
    </row>
    <row r="170" spans="1:16" x14ac:dyDescent="0.4">
      <c r="F170" s="4" t="s">
        <v>201</v>
      </c>
      <c r="K170" s="4" t="s">
        <v>304</v>
      </c>
      <c r="P170" s="4" t="s">
        <v>410</v>
      </c>
    </row>
    <row r="171" spans="1:16" x14ac:dyDescent="0.4">
      <c r="F171" s="4" t="s">
        <v>202</v>
      </c>
      <c r="K171" s="4" t="s">
        <v>305</v>
      </c>
      <c r="P171" s="4" t="s">
        <v>411</v>
      </c>
    </row>
    <row r="173" spans="1:16" x14ac:dyDescent="0.4">
      <c r="F173" s="4" t="s">
        <v>113</v>
      </c>
      <c r="K173" s="4" t="s">
        <v>215</v>
      </c>
      <c r="P173" s="4" t="s">
        <v>316</v>
      </c>
    </row>
    <row r="174" spans="1:16" x14ac:dyDescent="0.4">
      <c r="F174" s="4">
        <v>18</v>
      </c>
      <c r="K174" s="4">
        <v>9</v>
      </c>
      <c r="P174" s="4">
        <v>9</v>
      </c>
    </row>
    <row r="175" spans="1:16" x14ac:dyDescent="0.4">
      <c r="F175" s="4" t="s">
        <v>203</v>
      </c>
      <c r="K175" s="4" t="s">
        <v>306</v>
      </c>
      <c r="P175" s="4" t="s">
        <v>412</v>
      </c>
    </row>
    <row r="176" spans="1:16" x14ac:dyDescent="0.4">
      <c r="F176" s="4" t="s">
        <v>204</v>
      </c>
      <c r="K176" s="4" t="s">
        <v>307</v>
      </c>
      <c r="P176" s="4" t="s">
        <v>413</v>
      </c>
    </row>
    <row r="177" spans="6:16" x14ac:dyDescent="0.4">
      <c r="F177" s="4" t="s">
        <v>205</v>
      </c>
      <c r="K177" s="4" t="s">
        <v>308</v>
      </c>
      <c r="P177" s="4" t="s">
        <v>414</v>
      </c>
    </row>
    <row r="178" spans="6:16" x14ac:dyDescent="0.4">
      <c r="F178" s="4" t="s">
        <v>206</v>
      </c>
      <c r="K178" s="4" t="s">
        <v>309</v>
      </c>
      <c r="P178" s="4" t="s">
        <v>415</v>
      </c>
    </row>
    <row r="179" spans="6:16" x14ac:dyDescent="0.4">
      <c r="F179" s="4" t="s">
        <v>207</v>
      </c>
      <c r="K179" s="4" t="s">
        <v>310</v>
      </c>
      <c r="P179" s="4" t="s">
        <v>416</v>
      </c>
    </row>
    <row r="181" spans="6:16" x14ac:dyDescent="0.4">
      <c r="F181" s="4" t="s">
        <v>113</v>
      </c>
      <c r="K181" s="4" t="s">
        <v>215</v>
      </c>
      <c r="P181" s="4" t="s">
        <v>316</v>
      </c>
    </row>
    <row r="182" spans="6:16" x14ac:dyDescent="0.4">
      <c r="F182" s="4">
        <v>19</v>
      </c>
      <c r="K182" s="4">
        <v>10</v>
      </c>
      <c r="P182" s="4">
        <v>10</v>
      </c>
    </row>
    <row r="183" spans="6:16" x14ac:dyDescent="0.4">
      <c r="F183" s="4" t="s">
        <v>208</v>
      </c>
      <c r="K183" s="4" t="s">
        <v>311</v>
      </c>
      <c r="P183" s="4" t="s">
        <v>417</v>
      </c>
    </row>
    <row r="184" spans="6:16" x14ac:dyDescent="0.4">
      <c r="F184" s="4" t="s">
        <v>209</v>
      </c>
      <c r="K184" s="4" t="s">
        <v>312</v>
      </c>
      <c r="P184" s="4" t="s">
        <v>418</v>
      </c>
    </row>
    <row r="185" spans="6:16" x14ac:dyDescent="0.4">
      <c r="F185" s="4" t="s">
        <v>210</v>
      </c>
      <c r="K185" s="4" t="s">
        <v>313</v>
      </c>
      <c r="P185" s="4" t="s">
        <v>419</v>
      </c>
    </row>
    <row r="186" spans="6:16" x14ac:dyDescent="0.4">
      <c r="F186" s="4" t="s">
        <v>211</v>
      </c>
      <c r="K186" s="4" t="s">
        <v>314</v>
      </c>
      <c r="P186" s="4" t="s">
        <v>420</v>
      </c>
    </row>
    <row r="187" spans="6:16" x14ac:dyDescent="0.4">
      <c r="F187" s="4" t="s">
        <v>212</v>
      </c>
      <c r="K187" s="4" t="s">
        <v>315</v>
      </c>
      <c r="P187" s="4" t="s">
        <v>421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2025-03-21T01:15:03Z</dcterms:modified>
</cp:coreProperties>
</file>