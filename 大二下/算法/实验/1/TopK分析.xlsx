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C:\Users\Yao Jianwen\Desktop\"/>
    </mc:Choice>
  </mc:AlternateContent>
  <xr:revisionPtr revIDLastSave="0" documentId="13_ncr:1_{2D5FC8B4-E85B-4101-AE84-5E64C6776801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N4" i="1" l="1"/>
  <c r="BO4" i="1"/>
  <c r="BF4" i="1"/>
  <c r="BG4" i="1"/>
  <c r="BK4" i="1"/>
  <c r="BL4" i="1"/>
  <c r="BM4" i="1"/>
  <c r="BC4" i="1"/>
  <c r="BD4" i="1"/>
  <c r="BE4" i="1"/>
  <c r="BJ4" i="1"/>
  <c r="BB4" i="1"/>
  <c r="AM4" i="1"/>
  <c r="AL4" i="1"/>
  <c r="AK4" i="1"/>
  <c r="AJ4" i="1"/>
  <c r="AI4" i="1"/>
  <c r="AH4" i="1"/>
  <c r="AH3" i="1" s="1"/>
  <c r="AG4" i="1"/>
  <c r="AF4" i="1"/>
  <c r="AC4" i="1"/>
  <c r="S4" i="1"/>
  <c r="I4" i="1"/>
  <c r="C4" i="1"/>
  <c r="AF3" i="1" l="1"/>
  <c r="AM3" i="1"/>
  <c r="AG3" i="1"/>
  <c r="AJ3" i="1"/>
  <c r="AI3" i="1"/>
  <c r="AK3" i="1"/>
  <c r="AL3" i="1"/>
  <c r="D4" i="1"/>
  <c r="D3" i="1" s="1"/>
  <c r="AB4" i="1"/>
  <c r="AA4" i="1"/>
  <c r="Z4" i="1"/>
  <c r="Y4" i="1"/>
  <c r="X4" i="1"/>
  <c r="X3" i="1" s="1"/>
  <c r="AC3" i="1" s="1"/>
  <c r="W4" i="1"/>
  <c r="V4" i="1"/>
  <c r="R4" i="1"/>
  <c r="Q4" i="1"/>
  <c r="P4" i="1"/>
  <c r="O4" i="1"/>
  <c r="N4" i="1"/>
  <c r="N3" i="1" s="1"/>
  <c r="M4" i="1"/>
  <c r="L4" i="1"/>
  <c r="E4" i="1"/>
  <c r="F4" i="1"/>
  <c r="G4" i="1"/>
  <c r="H4" i="1"/>
  <c r="B4" i="1"/>
  <c r="O3" i="1" l="1"/>
  <c r="S3" i="1"/>
  <c r="H3" i="1"/>
  <c r="I3" i="1"/>
  <c r="Q3" i="1"/>
  <c r="P3" i="1"/>
  <c r="L3" i="1"/>
  <c r="G3" i="1"/>
  <c r="C3" i="1"/>
  <c r="B3" i="1"/>
  <c r="F3" i="1"/>
  <c r="V3" i="1"/>
  <c r="W3" i="1"/>
  <c r="AB3" i="1"/>
  <c r="AA3" i="1"/>
  <c r="Z3" i="1"/>
  <c r="Y3" i="1"/>
  <c r="R3" i="1"/>
  <c r="M3" i="1"/>
  <c r="E3" i="1"/>
</calcChain>
</file>

<file path=xl/sharedStrings.xml><?xml version="1.0" encoding="utf-8"?>
<sst xmlns="http://schemas.openxmlformats.org/spreadsheetml/2006/main" count="1740" uniqueCount="919">
  <si>
    <t>选择排序</t>
    <phoneticPr fontId="1" type="noConversion"/>
  </si>
  <si>
    <t>规模</t>
    <phoneticPr fontId="1" type="noConversion"/>
  </si>
  <si>
    <t>理论时间</t>
    <phoneticPr fontId="1" type="noConversion"/>
  </si>
  <si>
    <t>平均时间</t>
    <phoneticPr fontId="1" type="noConversion"/>
  </si>
  <si>
    <t>100w</t>
    <phoneticPr fontId="1" type="noConversion"/>
  </si>
  <si>
    <t>500w</t>
    <phoneticPr fontId="1" type="noConversion"/>
  </si>
  <si>
    <t>1000w</t>
    <phoneticPr fontId="1" type="noConversion"/>
  </si>
  <si>
    <t>5000w</t>
    <phoneticPr fontId="1" type="noConversion"/>
  </si>
  <si>
    <t>2500w</t>
    <phoneticPr fontId="1" type="noConversion"/>
  </si>
  <si>
    <t>7500w</t>
    <phoneticPr fontId="1" type="noConversion"/>
  </si>
  <si>
    <t>1ww</t>
    <phoneticPr fontId="1" type="noConversion"/>
  </si>
  <si>
    <t>样本 1 (n=1000000):</t>
  </si>
  <si>
    <t xml:space="preserve">选择排序TopK: </t>
  </si>
  <si>
    <t>40.159 ms</t>
  </si>
  <si>
    <t xml:space="preserve">堆选择TopK: </t>
  </si>
  <si>
    <t>18.9922 ms</t>
  </si>
  <si>
    <t xml:space="preserve">快速选择TopK: </t>
  </si>
  <si>
    <t>34.734 ms</t>
  </si>
  <si>
    <t>样本 2 (n=1000000):</t>
  </si>
  <si>
    <t>39.475 ms</t>
  </si>
  <si>
    <t>18.93 ms</t>
  </si>
  <si>
    <t>18.106 ms</t>
  </si>
  <si>
    <t>样本 3 (n=1000000):</t>
  </si>
  <si>
    <t>39.8121 ms</t>
  </si>
  <si>
    <t>19.85 ms</t>
  </si>
  <si>
    <t>34.667 ms</t>
  </si>
  <si>
    <t>样本 4 (n=1000000):</t>
  </si>
  <si>
    <t>45.053 ms</t>
  </si>
  <si>
    <t>20.2141 ms</t>
  </si>
  <si>
    <t>11.4949 ms</t>
  </si>
  <si>
    <t>样本 5 (n=1000000):</t>
  </si>
  <si>
    <t>45.1372 ms</t>
  </si>
  <si>
    <t>18.996 ms</t>
  </si>
  <si>
    <t>29.0608 ms</t>
  </si>
  <si>
    <t>样本 6 (n=1000000):</t>
  </si>
  <si>
    <t>38.8899 ms</t>
  </si>
  <si>
    <t>18.8439 ms</t>
  </si>
  <si>
    <t>21.4019 ms</t>
  </si>
  <si>
    <t>样本 7 (n=1000000):</t>
  </si>
  <si>
    <t>38.7311 ms</t>
  </si>
  <si>
    <t>19.6898 ms</t>
  </si>
  <si>
    <t>23.092 ms</t>
  </si>
  <si>
    <t>样本 8 (n=1000000):</t>
  </si>
  <si>
    <t>39.1901 ms</t>
  </si>
  <si>
    <t>18.939 ms</t>
  </si>
  <si>
    <t>27.966 ms</t>
  </si>
  <si>
    <t>样本 9 (n=1000000):</t>
  </si>
  <si>
    <t>39.134 ms</t>
  </si>
  <si>
    <t>18.7669 ms</t>
  </si>
  <si>
    <t>9.55892 ms</t>
  </si>
  <si>
    <t>样本 10 (n=1000000):</t>
  </si>
  <si>
    <t>38.7039 ms</t>
  </si>
  <si>
    <t>19.449 ms</t>
  </si>
  <si>
    <t>6.99401 ms</t>
  </si>
  <si>
    <t>样本 11 (n=1000000):</t>
  </si>
  <si>
    <t>38.692 ms</t>
  </si>
  <si>
    <t>18.8591 ms</t>
  </si>
  <si>
    <t>5.98192 ms</t>
  </si>
  <si>
    <t>样本 12 (n=1000000):</t>
  </si>
  <si>
    <t>41.6229 ms</t>
  </si>
  <si>
    <t>23.1071 ms</t>
  </si>
  <si>
    <t>37.0002 ms</t>
  </si>
  <si>
    <t>样本 13 (n=1000000):</t>
  </si>
  <si>
    <t>40.3879 ms</t>
  </si>
  <si>
    <t>21.1082 ms</t>
  </si>
  <si>
    <t>4.30202 ms</t>
  </si>
  <si>
    <t>样本 14 (n=1000000):</t>
  </si>
  <si>
    <t>39.7799 ms</t>
  </si>
  <si>
    <t>19.5699 ms</t>
  </si>
  <si>
    <t>2.72417 ms</t>
  </si>
  <si>
    <t>样本 15 (n=1000000):</t>
  </si>
  <si>
    <t>39.0351 ms</t>
  </si>
  <si>
    <t>18.908 ms</t>
  </si>
  <si>
    <t>27.5691 ms</t>
  </si>
  <si>
    <t>样本 16 (n=1000000):</t>
  </si>
  <si>
    <t>40.0791 ms</t>
  </si>
  <si>
    <t>18.851 ms</t>
  </si>
  <si>
    <t>11.5268 ms</t>
  </si>
  <si>
    <t>样本 17 (n=1000000):</t>
  </si>
  <si>
    <t>39.5191 ms</t>
  </si>
  <si>
    <t>18.9641 ms</t>
  </si>
  <si>
    <t>30.0481 ms</t>
  </si>
  <si>
    <t>样本 18 (n=1000000):</t>
  </si>
  <si>
    <t>43.483 ms</t>
  </si>
  <si>
    <t>19.3172 ms</t>
  </si>
  <si>
    <t>10.5588 ms</t>
  </si>
  <si>
    <t>样本 19 (n=1000000):</t>
  </si>
  <si>
    <t>39.1181 ms</t>
  </si>
  <si>
    <t>20.1139 ms</t>
  </si>
  <si>
    <t>3.77584 ms</t>
  </si>
  <si>
    <t>样本 20 (n=1000000):</t>
  </si>
  <si>
    <t>39.618 ms</t>
  </si>
  <si>
    <t>18.7471 ms</t>
  </si>
  <si>
    <t>19.506 ms</t>
  </si>
  <si>
    <t>样本 1 (n=5000000):</t>
  </si>
  <si>
    <t>222.355 ms</t>
  </si>
  <si>
    <t>95.5889 ms</t>
  </si>
  <si>
    <t>98.1641 ms</t>
  </si>
  <si>
    <t>样本 2 (n=5000000):</t>
  </si>
  <si>
    <t>213.054 ms</t>
  </si>
  <si>
    <t>95.8099 ms</t>
  </si>
  <si>
    <t>34.3211 ms</t>
  </si>
  <si>
    <t>样本 3 (n=5000000):</t>
  </si>
  <si>
    <t>205.798 ms</t>
  </si>
  <si>
    <t>96.3218 ms</t>
  </si>
  <si>
    <t>83.545 ms</t>
  </si>
  <si>
    <t>样本 4 (n=5000000):</t>
  </si>
  <si>
    <t>223.262 ms</t>
  </si>
  <si>
    <t>96.966 ms</t>
  </si>
  <si>
    <t>118.956 ms</t>
  </si>
  <si>
    <t>样本 5 (n=5000000):</t>
  </si>
  <si>
    <t>195.397 ms</t>
  </si>
  <si>
    <t>94.713 ms</t>
  </si>
  <si>
    <t>84.558 ms</t>
  </si>
  <si>
    <t>样本 6 (n=5000000):</t>
  </si>
  <si>
    <t>225.351 ms</t>
  </si>
  <si>
    <t>112.732 ms</t>
  </si>
  <si>
    <t>127.742 ms</t>
  </si>
  <si>
    <t>样本 7 (n=5000000):</t>
  </si>
  <si>
    <t>237.411 ms</t>
  </si>
  <si>
    <t>94.929 ms</t>
  </si>
  <si>
    <t>128.295 ms</t>
  </si>
  <si>
    <t>样本 8 (n=5000000):</t>
  </si>
  <si>
    <t>223.938 ms</t>
  </si>
  <si>
    <t>94.2249 ms</t>
  </si>
  <si>
    <t>75.5198 ms</t>
  </si>
  <si>
    <t>样本 9 (n=5000000):</t>
  </si>
  <si>
    <t>195.818 ms</t>
  </si>
  <si>
    <t>102.644 ms</t>
  </si>
  <si>
    <t>32.6669 ms</t>
  </si>
  <si>
    <t>样本 10 (n=5000000):</t>
  </si>
  <si>
    <t>193.974 ms</t>
  </si>
  <si>
    <t>95.541 ms</t>
  </si>
  <si>
    <t>89.1721 ms</t>
  </si>
  <si>
    <t>样本 11 (n=5000000):</t>
  </si>
  <si>
    <t>227.584 ms</t>
  </si>
  <si>
    <t>95.1631 ms</t>
  </si>
  <si>
    <t>207.258 ms</t>
  </si>
  <si>
    <t>样本 12 (n=5000000):</t>
  </si>
  <si>
    <t>194.942 ms</t>
  </si>
  <si>
    <t>111.285 ms</t>
  </si>
  <si>
    <t>91.5871 ms</t>
  </si>
  <si>
    <t>样本 13 (n=5000000):</t>
  </si>
  <si>
    <t>204.28 ms</t>
  </si>
  <si>
    <t>98.788 ms</t>
  </si>
  <si>
    <t>124.397 ms</t>
  </si>
  <si>
    <t>样本 14 (n=5000000):</t>
  </si>
  <si>
    <t>199.957 ms</t>
  </si>
  <si>
    <t>94.7881 ms</t>
  </si>
  <si>
    <t>154.267 ms</t>
  </si>
  <si>
    <t>样本 15 (n=5000000):</t>
  </si>
  <si>
    <t>216.995 ms</t>
  </si>
  <si>
    <t>103.715 ms</t>
  </si>
  <si>
    <t>127.44 ms</t>
  </si>
  <si>
    <t>样本 16 (n=5000000):</t>
  </si>
  <si>
    <t>199.144 ms</t>
  </si>
  <si>
    <t>98.1891 ms</t>
  </si>
  <si>
    <t>121.399 ms</t>
  </si>
  <si>
    <t>样本 17 (n=5000000):</t>
  </si>
  <si>
    <t>196.442 ms</t>
  </si>
  <si>
    <t>94.1191 ms</t>
  </si>
  <si>
    <t>112.666 ms</t>
  </si>
  <si>
    <t>样本 18 (n=5000000):</t>
  </si>
  <si>
    <t>213.434 ms</t>
  </si>
  <si>
    <t>94.3809 ms</t>
  </si>
  <si>
    <t>104.147 ms</t>
  </si>
  <si>
    <t>样本 19 (n=5000000):</t>
  </si>
  <si>
    <t>231.236 ms</t>
  </si>
  <si>
    <t>105.409 ms</t>
  </si>
  <si>
    <t>118.552 ms</t>
  </si>
  <si>
    <t>样本 20 (n=5000000):</t>
  </si>
  <si>
    <t>199.54 ms</t>
  </si>
  <si>
    <t>94.5561 ms</t>
  </si>
  <si>
    <t>54.1499 ms</t>
  </si>
  <si>
    <t>样本 1 (n=10000000):</t>
  </si>
  <si>
    <t>421.019 ms</t>
  </si>
  <si>
    <t>195.204 ms</t>
  </si>
  <si>
    <t>280.243 ms</t>
  </si>
  <si>
    <t>样本 2 (n=10000000):</t>
  </si>
  <si>
    <t>392.014 ms</t>
  </si>
  <si>
    <t>230.275 ms</t>
  </si>
  <si>
    <t>464.188 ms</t>
  </si>
  <si>
    <t>样本 3 (n=10000000):</t>
  </si>
  <si>
    <t>414.116 ms</t>
  </si>
  <si>
    <t>190.684 ms</t>
  </si>
  <si>
    <t>320.412 ms</t>
  </si>
  <si>
    <t>样本 4 (n=10000000):</t>
  </si>
  <si>
    <t>391.085 ms</t>
  </si>
  <si>
    <t>193.525 ms</t>
  </si>
  <si>
    <t>72.6562 ms</t>
  </si>
  <si>
    <t>样本 5 (n=10000000):</t>
  </si>
  <si>
    <t>437.554 ms</t>
  </si>
  <si>
    <t>189.45 ms</t>
  </si>
  <si>
    <t>229.291 ms</t>
  </si>
  <si>
    <t>样本 6 (n=10000000):</t>
  </si>
  <si>
    <t>400.844 ms</t>
  </si>
  <si>
    <t>195.177 ms</t>
  </si>
  <si>
    <t>246.151 ms</t>
  </si>
  <si>
    <t>样本 7 (n=10000000):</t>
  </si>
  <si>
    <t>395.684 ms</t>
  </si>
  <si>
    <t>204.279 ms</t>
  </si>
  <si>
    <t>35.6421 ms</t>
  </si>
  <si>
    <t>样本 8 (n=10000000):</t>
  </si>
  <si>
    <t>400.618 ms</t>
  </si>
  <si>
    <t>187.557 ms</t>
  </si>
  <si>
    <t>111.078 ms</t>
  </si>
  <si>
    <t>样本 9 (n=10000000):</t>
  </si>
  <si>
    <t>431.754 ms</t>
  </si>
  <si>
    <t>197.758 ms</t>
  </si>
  <si>
    <t>52.0608 ms</t>
  </si>
  <si>
    <t>样本 10 (n=10000000):</t>
  </si>
  <si>
    <t>393.303 ms</t>
  </si>
  <si>
    <t>188.546 ms</t>
  </si>
  <si>
    <t>201.72 ms</t>
  </si>
  <si>
    <t>样本 11 (n=10000000):</t>
  </si>
  <si>
    <t>398.22 ms</t>
  </si>
  <si>
    <t>190.127 ms</t>
  </si>
  <si>
    <t>165.028 ms</t>
  </si>
  <si>
    <t>样本 12 (n=10000000):</t>
  </si>
  <si>
    <t>400.765 ms</t>
  </si>
  <si>
    <t>189.253 ms</t>
  </si>
  <si>
    <t>209.991 ms</t>
  </si>
  <si>
    <t>样本 13 (n=10000000):</t>
  </si>
  <si>
    <t>396.893 ms</t>
  </si>
  <si>
    <t>188.69 ms</t>
  </si>
  <si>
    <t>179.541 ms</t>
  </si>
  <si>
    <t>样本 14 (n=10000000):</t>
  </si>
  <si>
    <t>394.481 ms</t>
  </si>
  <si>
    <t>194.779 ms</t>
  </si>
  <si>
    <t>236.559 ms</t>
  </si>
  <si>
    <t>样本 15 (n=10000000):</t>
  </si>
  <si>
    <t>407.31 ms</t>
  </si>
  <si>
    <t>189.187 ms</t>
  </si>
  <si>
    <t>240.595 ms</t>
  </si>
  <si>
    <t>样本 16 (n=10000000):</t>
  </si>
  <si>
    <t>416.494 ms</t>
  </si>
  <si>
    <t>201.481 ms</t>
  </si>
  <si>
    <t>436.132 ms</t>
  </si>
  <si>
    <t>样本 17 (n=10000000):</t>
  </si>
  <si>
    <t>394.603 ms</t>
  </si>
  <si>
    <t>204.505 ms</t>
  </si>
  <si>
    <t>174.733 ms</t>
  </si>
  <si>
    <t>样本 18 (n=10000000):</t>
  </si>
  <si>
    <t>407.967 ms</t>
  </si>
  <si>
    <t>190.614 ms</t>
  </si>
  <si>
    <t>29.6588 ms</t>
  </si>
  <si>
    <t>样本 19 (n=10000000):</t>
  </si>
  <si>
    <t>396.177 ms</t>
  </si>
  <si>
    <t>193.673 ms</t>
  </si>
  <si>
    <t>142.197 ms</t>
  </si>
  <si>
    <t>样本 20 (n=10000000):</t>
  </si>
  <si>
    <t>450.612 ms</t>
  </si>
  <si>
    <t>189.353 ms</t>
  </si>
  <si>
    <t>354.82 ms</t>
  </si>
  <si>
    <t>选择排序TopK:</t>
  </si>
  <si>
    <t>堆选择TopK:</t>
  </si>
  <si>
    <t>快速选择TopK:</t>
  </si>
  <si>
    <t>样本 1 (n=25000000):</t>
  </si>
  <si>
    <t>1016.24 ms</t>
  </si>
  <si>
    <t>488.788 ms</t>
  </si>
  <si>
    <t>590.204 ms</t>
  </si>
  <si>
    <t>样本 2 (n=25000000):</t>
  </si>
  <si>
    <t>1007.26 ms</t>
  </si>
  <si>
    <t>495.994 ms</t>
  </si>
  <si>
    <t>592.771 ms</t>
  </si>
  <si>
    <t>样本 3 (n=25000000):</t>
  </si>
  <si>
    <t>1015.11 ms</t>
  </si>
  <si>
    <t>480.913 ms</t>
  </si>
  <si>
    <t>903.239 ms</t>
  </si>
  <si>
    <t>样本 4 (n=25000000):</t>
  </si>
  <si>
    <t>989.09 ms</t>
  </si>
  <si>
    <t>473.486 ms</t>
  </si>
  <si>
    <t>739.16 ms</t>
  </si>
  <si>
    <t>样本 5 (n=25000000):</t>
  </si>
  <si>
    <t>1070.26 ms</t>
  </si>
  <si>
    <t>492.608 ms</t>
  </si>
  <si>
    <t>763.679 ms</t>
  </si>
  <si>
    <t>样本 6 (n=25000000):</t>
  </si>
  <si>
    <t>1105.88 ms</t>
  </si>
  <si>
    <t>488.278 ms</t>
  </si>
  <si>
    <t>165.995 ms</t>
  </si>
  <si>
    <t>样本 7 (n=25000000):</t>
  </si>
  <si>
    <t>1080.96 ms</t>
  </si>
  <si>
    <t>485.394 ms</t>
  </si>
  <si>
    <t>739.992 ms</t>
  </si>
  <si>
    <t>样本 8 (n=25000000):</t>
  </si>
  <si>
    <t>1026.31 ms</t>
  </si>
  <si>
    <t>494.529 ms</t>
  </si>
  <si>
    <t>404.269 ms</t>
  </si>
  <si>
    <t>样本 9 (n=25000000):</t>
  </si>
  <si>
    <t>984.782 ms</t>
  </si>
  <si>
    <t>480.687 ms</t>
  </si>
  <si>
    <t>509.79 ms</t>
  </si>
  <si>
    <t>样本 10 (n=25000000):</t>
  </si>
  <si>
    <t>1023.78 ms</t>
  </si>
  <si>
    <t>479.264 ms</t>
  </si>
  <si>
    <t>1114.07 ms</t>
  </si>
  <si>
    <t>样本 11 (n=25000000):</t>
  </si>
  <si>
    <t>988.988 ms</t>
  </si>
  <si>
    <t>481.028 ms</t>
  </si>
  <si>
    <t>701.657 ms</t>
  </si>
  <si>
    <t>样本 12 (n=25000000):</t>
  </si>
  <si>
    <t>980.05 ms</t>
  </si>
  <si>
    <t>470.125 ms</t>
  </si>
  <si>
    <t>85.0089 ms</t>
  </si>
  <si>
    <t>样本 13 (n=25000000):</t>
  </si>
  <si>
    <t>1008.88 ms</t>
  </si>
  <si>
    <t>474.868 ms</t>
  </si>
  <si>
    <t>72.634 ms</t>
  </si>
  <si>
    <t>样本 14 (n=25000000):</t>
  </si>
  <si>
    <t>1054.44 ms</t>
  </si>
  <si>
    <t>479.181 ms</t>
  </si>
  <si>
    <t>385.543 ms</t>
  </si>
  <si>
    <t>样本 15 (n=25000000):</t>
  </si>
  <si>
    <t>1007.97 ms</t>
  </si>
  <si>
    <t>473.846 ms</t>
  </si>
  <si>
    <t>492.339 ms</t>
  </si>
  <si>
    <t>样本 16 (n=25000000):</t>
  </si>
  <si>
    <t>1029.14 ms</t>
  </si>
  <si>
    <t>497.576 ms</t>
  </si>
  <si>
    <t>734.992 ms</t>
  </si>
  <si>
    <t>样本 17 (n=25000000):</t>
  </si>
  <si>
    <t>983.319 ms</t>
  </si>
  <si>
    <t>476.177 ms</t>
  </si>
  <si>
    <t>1010.55 ms</t>
  </si>
  <si>
    <t>样本 18 (n=25000000):</t>
  </si>
  <si>
    <t>1028.43 ms</t>
  </si>
  <si>
    <t>505.704 ms</t>
  </si>
  <si>
    <t>445.355 ms</t>
  </si>
  <si>
    <t>样本 19 (n=25000000):</t>
  </si>
  <si>
    <t>1035.59 ms</t>
  </si>
  <si>
    <t>478.474 ms</t>
  </si>
  <si>
    <t>380.432 ms</t>
  </si>
  <si>
    <t>样本 20 (n=25000000):</t>
  </si>
  <si>
    <t>993.195 ms</t>
  </si>
  <si>
    <t>474.783 ms</t>
  </si>
  <si>
    <t>548.597 ms</t>
  </si>
  <si>
    <t>样本 1 (n=50000000):</t>
  </si>
  <si>
    <t>2130.8 ms</t>
  </si>
  <si>
    <t>971.406 ms</t>
  </si>
  <si>
    <t>1208.87 ms</t>
  </si>
  <si>
    <t>样本 2 (n=50000000):</t>
  </si>
  <si>
    <t>2010.02 ms</t>
  </si>
  <si>
    <t>961.779 ms</t>
  </si>
  <si>
    <t>486.343 ms</t>
  </si>
  <si>
    <t>样本 3 (n=50000000):</t>
  </si>
  <si>
    <t>2030.39 ms</t>
  </si>
  <si>
    <t>969.834 ms</t>
  </si>
  <si>
    <t>196.128 ms</t>
  </si>
  <si>
    <t>样本 4 (n=50000000):</t>
  </si>
  <si>
    <t>1969.42 ms</t>
  </si>
  <si>
    <t>1136.66 ms</t>
  </si>
  <si>
    <t>1053.09 ms</t>
  </si>
  <si>
    <t>样本 5 (n=50000000):</t>
  </si>
  <si>
    <t>1948.71 ms</t>
  </si>
  <si>
    <t>1005.69 ms</t>
  </si>
  <si>
    <t>729.955 ms</t>
  </si>
  <si>
    <t>样本 6 (n=50000000):</t>
  </si>
  <si>
    <t>2018.06 ms</t>
  </si>
  <si>
    <t>971.665 ms</t>
  </si>
  <si>
    <t>399.074 ms</t>
  </si>
  <si>
    <t>样本 7 (n=50000000):</t>
  </si>
  <si>
    <t>2109.65 ms</t>
  </si>
  <si>
    <t>957.576 ms</t>
  </si>
  <si>
    <t>412.778 ms</t>
  </si>
  <si>
    <t>样本 8 (n=50000000):</t>
  </si>
  <si>
    <t>1975.81 ms</t>
  </si>
  <si>
    <t>970.697 ms</t>
  </si>
  <si>
    <t>1218.41 ms</t>
  </si>
  <si>
    <t>样本 9 (n=50000000):</t>
  </si>
  <si>
    <t>1975.75 ms</t>
  </si>
  <si>
    <t>973.193 ms</t>
  </si>
  <si>
    <t>1657.32 ms</t>
  </si>
  <si>
    <t>样本 10 (n=50000000):</t>
  </si>
  <si>
    <t>1968.67 ms</t>
  </si>
  <si>
    <t>978.154 ms</t>
  </si>
  <si>
    <t>974.681 ms</t>
  </si>
  <si>
    <t>样本 11 (n=50000000):</t>
  </si>
  <si>
    <t>2037.35 ms</t>
  </si>
  <si>
    <t>946.321 ms</t>
  </si>
  <si>
    <t>920.297 ms</t>
  </si>
  <si>
    <t>样本 12 (n=50000000):</t>
  </si>
  <si>
    <t>2090.72 ms</t>
  </si>
  <si>
    <t>946.569 ms</t>
  </si>
  <si>
    <t>413.405 ms</t>
  </si>
  <si>
    <t>样本 13 (n=50000000):</t>
  </si>
  <si>
    <t>2005.57 ms</t>
  </si>
  <si>
    <t>942.601 ms</t>
  </si>
  <si>
    <t>284.497 ms</t>
  </si>
  <si>
    <t>样本 14 (n=50000000):</t>
  </si>
  <si>
    <t>1979.02 ms</t>
  </si>
  <si>
    <t>944.877 ms</t>
  </si>
  <si>
    <t>1954.4 ms</t>
  </si>
  <si>
    <t>样本 15 (n=50000000):</t>
  </si>
  <si>
    <t>2027.49 ms</t>
  </si>
  <si>
    <t>937.437 ms</t>
  </si>
  <si>
    <t>1200.34 ms</t>
  </si>
  <si>
    <t>样本 16 (n=50000000):</t>
  </si>
  <si>
    <t>1996.64 ms</t>
  </si>
  <si>
    <t>1006.48 ms</t>
  </si>
  <si>
    <t>648.216 ms</t>
  </si>
  <si>
    <t>样本 17 (n=50000000):</t>
  </si>
  <si>
    <t>2000.76 ms</t>
  </si>
  <si>
    <t>947.797 ms</t>
  </si>
  <si>
    <t>208.899 ms</t>
  </si>
  <si>
    <t>样本 18 (n=50000000):</t>
  </si>
  <si>
    <t>1982.03 ms</t>
  </si>
  <si>
    <t>953.092 ms</t>
  </si>
  <si>
    <t>577.324 ms</t>
  </si>
  <si>
    <t>样本 19 (n=50000000):</t>
  </si>
  <si>
    <t>1949.5 ms</t>
  </si>
  <si>
    <t>948.361 ms</t>
  </si>
  <si>
    <t>472.694 ms</t>
  </si>
  <si>
    <t>样本 20 (n=50000000):</t>
  </si>
  <si>
    <t>1957.12 ms</t>
  </si>
  <si>
    <t>962.627 ms</t>
  </si>
  <si>
    <t>2115.39 ms</t>
  </si>
  <si>
    <t>样本 1 (n=75000000):</t>
  </si>
  <si>
    <t>2969.01 ms</t>
  </si>
  <si>
    <t>1476.33 ms</t>
  </si>
  <si>
    <t>3074.11 ms</t>
  </si>
  <si>
    <t>样本 2 (n=75000000):</t>
  </si>
  <si>
    <t>2943.68 ms</t>
  </si>
  <si>
    <t>1434.87 ms</t>
  </si>
  <si>
    <t>505.233 ms</t>
  </si>
  <si>
    <t>样本 3 (n=75000000):</t>
  </si>
  <si>
    <t>3014.97 ms</t>
  </si>
  <si>
    <t>1426.42 ms</t>
  </si>
  <si>
    <t>1710.02 ms</t>
  </si>
  <si>
    <t>样本 4 (n=75000000):</t>
  </si>
  <si>
    <t>2951.52 ms</t>
  </si>
  <si>
    <t>1447.63 ms</t>
  </si>
  <si>
    <t>1580.52 ms</t>
  </si>
  <si>
    <t>样本 5 (n=75000000):</t>
  </si>
  <si>
    <t>3105.22 ms</t>
  </si>
  <si>
    <t>1430.05 ms</t>
  </si>
  <si>
    <t>817.396 ms</t>
  </si>
  <si>
    <t>样本 6 (n=75000000):</t>
  </si>
  <si>
    <t>2992.35 ms</t>
  </si>
  <si>
    <t>1408.5 ms</t>
  </si>
  <si>
    <t>2006.71 ms</t>
  </si>
  <si>
    <t>样本 7 (n=75000000):</t>
  </si>
  <si>
    <t>2994.5 ms</t>
  </si>
  <si>
    <t>1417.43 ms</t>
  </si>
  <si>
    <t>1212.05 ms</t>
  </si>
  <si>
    <t>样本 8 (n=75000000):</t>
  </si>
  <si>
    <t>2951.26 ms</t>
  </si>
  <si>
    <t>1421.42 ms</t>
  </si>
  <si>
    <t>2620.91 ms</t>
  </si>
  <si>
    <t>样本 9 (n=75000000):</t>
  </si>
  <si>
    <t>2980.47 ms</t>
  </si>
  <si>
    <t>1413.39 ms</t>
  </si>
  <si>
    <t>248.784 ms</t>
  </si>
  <si>
    <t>样本 10 (n=75000000):</t>
  </si>
  <si>
    <t>2935.27 ms</t>
  </si>
  <si>
    <t>1454.19 ms</t>
  </si>
  <si>
    <t>1801.74 ms</t>
  </si>
  <si>
    <t>样本 11 (n=75000000):</t>
  </si>
  <si>
    <t>2951.25 ms</t>
  </si>
  <si>
    <t>1408.75 ms</t>
  </si>
  <si>
    <t>801.143 ms</t>
  </si>
  <si>
    <t>样本 12 (n=75000000):</t>
  </si>
  <si>
    <t>2986.41 ms</t>
  </si>
  <si>
    <t>1427.46 ms</t>
  </si>
  <si>
    <t>2330.49 ms</t>
  </si>
  <si>
    <t>样本 13 (n=75000000):</t>
  </si>
  <si>
    <t>2987.15 ms</t>
  </si>
  <si>
    <t>1410.82 ms</t>
  </si>
  <si>
    <t>2532.17 ms</t>
  </si>
  <si>
    <t>样本 14 (n=75000000):</t>
  </si>
  <si>
    <t>3034.81 ms</t>
  </si>
  <si>
    <t>1412.85 ms</t>
  </si>
  <si>
    <t>4830.12 ms</t>
  </si>
  <si>
    <t>样本 15 (n=75000000):</t>
  </si>
  <si>
    <t>2925.18 ms</t>
  </si>
  <si>
    <t>1420.38 ms</t>
  </si>
  <si>
    <t>2265.32 ms</t>
  </si>
  <si>
    <t>样本 16 (n=75000000):</t>
  </si>
  <si>
    <t>2969.04 ms</t>
  </si>
  <si>
    <t>1442.06 ms</t>
  </si>
  <si>
    <t>1372.49 ms</t>
  </si>
  <si>
    <t>样本 17 (n=75000000):</t>
  </si>
  <si>
    <t>2960.91 ms</t>
  </si>
  <si>
    <t>1417.13 ms</t>
  </si>
  <si>
    <t>988.13 ms</t>
  </si>
  <si>
    <t>样本 18 (n=75000000):</t>
  </si>
  <si>
    <t>3011.48 ms</t>
  </si>
  <si>
    <t>1408.69 ms</t>
  </si>
  <si>
    <t>919.34 ms</t>
  </si>
  <si>
    <t>样本 19 (n=75000000):</t>
  </si>
  <si>
    <t>2951.11 ms</t>
  </si>
  <si>
    <t>1433.9 ms</t>
  </si>
  <si>
    <t>1962.74 ms</t>
  </si>
  <si>
    <t>样本 20 (n=75000000):</t>
  </si>
  <si>
    <t>2921.78 ms</t>
  </si>
  <si>
    <t>1420.46 ms</t>
  </si>
  <si>
    <t>259.607 ms</t>
  </si>
  <si>
    <t>堆排序</t>
    <phoneticPr fontId="1" type="noConversion"/>
  </si>
  <si>
    <t>快速选择</t>
    <phoneticPr fontId="1" type="noConversion"/>
  </si>
  <si>
    <t>样本 1 (n=100000000):</t>
  </si>
  <si>
    <t>3963.1 ms</t>
  </si>
  <si>
    <t>1878.27 ms</t>
  </si>
  <si>
    <t>1021.38 ms</t>
  </si>
  <si>
    <t>样本 2 (n=100000000):</t>
  </si>
  <si>
    <t>4011.09 ms</t>
  </si>
  <si>
    <t>1926.87 ms</t>
  </si>
  <si>
    <t>2256.61 ms</t>
  </si>
  <si>
    <t>样本 3 (n=100000000):</t>
  </si>
  <si>
    <t>4000.68 ms</t>
  </si>
  <si>
    <t>1868.59 ms</t>
  </si>
  <si>
    <t>1961.07 ms</t>
  </si>
  <si>
    <t>样本 4 (n=100000000):</t>
  </si>
  <si>
    <t>3977.26 ms</t>
  </si>
  <si>
    <t>1880.87 ms</t>
  </si>
  <si>
    <t>450.396 ms</t>
  </si>
  <si>
    <t>样本 5 (n=100000000):</t>
  </si>
  <si>
    <t>3955.18 ms</t>
  </si>
  <si>
    <t>1876.48 ms</t>
  </si>
  <si>
    <t>4793.57 ms</t>
  </si>
  <si>
    <t>样本 6 (n=100000000):</t>
  </si>
  <si>
    <t>3946.24 ms</t>
  </si>
  <si>
    <t>1921.71 ms</t>
  </si>
  <si>
    <t>2517.96 ms</t>
  </si>
  <si>
    <t>样本 7 (n=100000000):</t>
  </si>
  <si>
    <t>3956.33 ms</t>
  </si>
  <si>
    <t>1884.28 ms</t>
  </si>
  <si>
    <t>5189.82 ms</t>
  </si>
  <si>
    <t>样本 8 (n=100000000):</t>
  </si>
  <si>
    <t>4036.15 ms</t>
  </si>
  <si>
    <t>1923.27 ms</t>
  </si>
  <si>
    <t>2441.12 ms</t>
  </si>
  <si>
    <t>样本 9 (n=100000000):</t>
  </si>
  <si>
    <t>3927.51 ms</t>
  </si>
  <si>
    <t>1882.03 ms</t>
  </si>
  <si>
    <t>2969.76 ms</t>
  </si>
  <si>
    <t>样本 10 (n=100000000):</t>
  </si>
  <si>
    <t>3906.47 ms</t>
  </si>
  <si>
    <t>1924.24 ms</t>
  </si>
  <si>
    <t>1129.41 ms</t>
  </si>
  <si>
    <t>样本 11 (n=100000000):</t>
  </si>
  <si>
    <t>3971.54 ms</t>
  </si>
  <si>
    <t>1870.97 ms</t>
  </si>
  <si>
    <t>2764.44 ms</t>
  </si>
  <si>
    <t>样本 12 (n=100000000):</t>
  </si>
  <si>
    <t>3994.8 ms</t>
  </si>
  <si>
    <t>1952.09 ms</t>
  </si>
  <si>
    <t>3665.93 ms</t>
  </si>
  <si>
    <t>样本 13 (n=100000000):</t>
  </si>
  <si>
    <t>3941.48 ms</t>
  </si>
  <si>
    <t>1940.91 ms</t>
  </si>
  <si>
    <t>2454.02 ms</t>
  </si>
  <si>
    <t>样本 14 (n=100000000):</t>
  </si>
  <si>
    <t>3957.36 ms</t>
  </si>
  <si>
    <t>1900.12 ms</t>
  </si>
  <si>
    <t>2090.22 ms</t>
  </si>
  <si>
    <t>样本 15 (n=100000000):</t>
  </si>
  <si>
    <t>3889.6 ms</t>
  </si>
  <si>
    <t>1909.86 ms</t>
  </si>
  <si>
    <t>1424 ms</t>
  </si>
  <si>
    <t>样本 16 (n=100000000):</t>
  </si>
  <si>
    <t>3998.06 ms</t>
  </si>
  <si>
    <t>1883.46 ms</t>
  </si>
  <si>
    <t>2923.08 ms</t>
  </si>
  <si>
    <t>样本 17 (n=100000000):</t>
  </si>
  <si>
    <t>3922.75 ms</t>
  </si>
  <si>
    <t>1875.99 ms</t>
  </si>
  <si>
    <t>5007.83 ms</t>
  </si>
  <si>
    <t>样本 18 (n=100000000):</t>
  </si>
  <si>
    <t>3951.32 ms</t>
  </si>
  <si>
    <t>1873.71 ms</t>
  </si>
  <si>
    <t>1672 ms</t>
  </si>
  <si>
    <t>样本 19 (n=100000000):</t>
  </si>
  <si>
    <t>4019.31 ms</t>
  </si>
  <si>
    <t>1908.74 ms</t>
  </si>
  <si>
    <t>1000.79 ms</t>
  </si>
  <si>
    <t>样本 20 (n=100000000):</t>
  </si>
  <si>
    <t>3964.26 ms</t>
  </si>
  <si>
    <t>1887.31 ms</t>
  </si>
  <si>
    <t>598.866 ms</t>
  </si>
  <si>
    <t>样本 1 (n=200000000):</t>
  </si>
  <si>
    <t>7843.99 ms</t>
  </si>
  <si>
    <t>3821.98 ms</t>
  </si>
  <si>
    <t>7478.49 ms</t>
  </si>
  <si>
    <t>样本 2 (n=200000000):</t>
  </si>
  <si>
    <t>7890.36 ms</t>
  </si>
  <si>
    <t>3740.55 ms</t>
  </si>
  <si>
    <t>4742.92 ms</t>
  </si>
  <si>
    <t>样本 3 (n=200000000):</t>
  </si>
  <si>
    <t>7858.76 ms</t>
  </si>
  <si>
    <t>3778.61 ms</t>
  </si>
  <si>
    <t>样本 4 (n=200000000):</t>
  </si>
  <si>
    <t>7770.76 ms</t>
  </si>
  <si>
    <t>3825.45 ms</t>
  </si>
  <si>
    <t>2409.62 ms</t>
  </si>
  <si>
    <t>样本 5 (n=200000000):</t>
  </si>
  <si>
    <t>7852.97 ms</t>
  </si>
  <si>
    <t>3738.13 ms</t>
  </si>
  <si>
    <t>4677.57 ms</t>
  </si>
  <si>
    <t>样本 6 (n=200000000):</t>
  </si>
  <si>
    <t>7934.24 ms</t>
  </si>
  <si>
    <t>3854.41 ms</t>
  </si>
  <si>
    <t>6933.19 ms</t>
  </si>
  <si>
    <t>样本 7 (n=200000000):</t>
  </si>
  <si>
    <t>7889.61 ms</t>
  </si>
  <si>
    <t>3767.87 ms</t>
  </si>
  <si>
    <t>1591.27 ms</t>
  </si>
  <si>
    <t>样本 8 (n=200000000):</t>
  </si>
  <si>
    <t>7876.42 ms</t>
  </si>
  <si>
    <t>3750.79 ms</t>
  </si>
  <si>
    <t>4723.43 ms</t>
  </si>
  <si>
    <t>样本 9 (n=200000000):</t>
  </si>
  <si>
    <t>7814.23 ms</t>
  </si>
  <si>
    <t>3805.53 ms</t>
  </si>
  <si>
    <t>523.59 ms</t>
  </si>
  <si>
    <t>样本 10 (n=200000000):</t>
  </si>
  <si>
    <t>7793.38 ms</t>
  </si>
  <si>
    <t>3793.06 ms</t>
  </si>
  <si>
    <t>1735.59 ms</t>
  </si>
  <si>
    <t>样本 11 (n=200000000):</t>
  </si>
  <si>
    <t>7826.82 ms</t>
  </si>
  <si>
    <t>3800.3 ms</t>
  </si>
  <si>
    <t>5088.13 ms</t>
  </si>
  <si>
    <t>样本 12 (n=200000000):</t>
  </si>
  <si>
    <t>7787.34 ms</t>
  </si>
  <si>
    <t>3775.47 ms</t>
  </si>
  <si>
    <t>5200.08 ms</t>
  </si>
  <si>
    <t>样本 13 (n=200000000):</t>
  </si>
  <si>
    <t>8054.15 ms</t>
  </si>
  <si>
    <t>3748.2 ms</t>
  </si>
  <si>
    <t>4911.5 ms</t>
  </si>
  <si>
    <t>7851.09 ms</t>
  </si>
  <si>
    <t>3847.71 ms</t>
  </si>
  <si>
    <t>2066.77 ms</t>
  </si>
  <si>
    <t>7906.51 ms</t>
  </si>
  <si>
    <t>3834.72 ms</t>
  </si>
  <si>
    <t>5669.17 ms</t>
  </si>
  <si>
    <t>7978.14 ms</t>
  </si>
  <si>
    <t>3851.18 ms</t>
  </si>
  <si>
    <t>9160.23 ms</t>
  </si>
  <si>
    <t>7942.12 ms</t>
  </si>
  <si>
    <t>3814.52 ms</t>
  </si>
  <si>
    <t>3929.45 ms</t>
  </si>
  <si>
    <t>8000.46 ms</t>
  </si>
  <si>
    <t>3781.21 ms</t>
  </si>
  <si>
    <t>8268.65 ms</t>
  </si>
  <si>
    <t>8072.94 ms</t>
  </si>
  <si>
    <t>3872.33 ms</t>
  </si>
  <si>
    <t>5882.82 ms</t>
  </si>
  <si>
    <t>7991.11 ms</t>
  </si>
  <si>
    <t>3833.85 ms</t>
  </si>
  <si>
    <t>4478.01 ms</t>
  </si>
  <si>
    <t>7878.76 ms</t>
  </si>
  <si>
    <t>3811.78 ms</t>
  </si>
  <si>
    <t>1067.48 ms</t>
    <phoneticPr fontId="1" type="noConversion"/>
  </si>
  <si>
    <t xml:space="preserve">快速选择TopK: </t>
    <phoneticPr fontId="1" type="noConversion"/>
  </si>
  <si>
    <t>223.449 ms</t>
  </si>
  <si>
    <t>209.681 ms</t>
  </si>
  <si>
    <t>233.14 ms</t>
  </si>
  <si>
    <t>207.176 ms</t>
  </si>
  <si>
    <t>219.683 ms</t>
  </si>
  <si>
    <t>210.446 ms</t>
  </si>
  <si>
    <t>217.259 ms</t>
  </si>
  <si>
    <t>208.221 ms</t>
  </si>
  <si>
    <t>225.623 ms</t>
  </si>
  <si>
    <t>212.076 ms</t>
  </si>
  <si>
    <t>219.887 ms</t>
  </si>
  <si>
    <t>209.089 ms</t>
  </si>
  <si>
    <t>215.45 ms</t>
  </si>
  <si>
    <t>211.242 ms</t>
  </si>
  <si>
    <t>225.687 ms</t>
  </si>
  <si>
    <t>210.459 ms</t>
  </si>
  <si>
    <t>210.97 ms</t>
  </si>
  <si>
    <t>208.213 ms</t>
  </si>
  <si>
    <t>207.037 ms</t>
  </si>
  <si>
    <t>210.263 ms</t>
  </si>
  <si>
    <t>分组堆选择</t>
    <phoneticPr fontId="1" type="noConversion"/>
  </si>
  <si>
    <t>K</t>
    <phoneticPr fontId="1" type="noConversion"/>
  </si>
  <si>
    <t>堆选择</t>
    <phoneticPr fontId="1" type="noConversion"/>
  </si>
  <si>
    <t>200.612 ms</t>
  </si>
  <si>
    <t>351.477 ms</t>
  </si>
  <si>
    <t>199.278 ms</t>
  </si>
  <si>
    <t>117.447 ms</t>
  </si>
  <si>
    <t>224.745 ms</t>
  </si>
  <si>
    <t>239.89 ms</t>
  </si>
  <si>
    <t>199.266 ms</t>
  </si>
  <si>
    <t>462.457 ms</t>
  </si>
  <si>
    <t>194.518 ms</t>
  </si>
  <si>
    <t>285.289 ms</t>
  </si>
  <si>
    <t>198.017 ms</t>
  </si>
  <si>
    <t>111.333 ms</t>
  </si>
  <si>
    <t>194.452 ms</t>
  </si>
  <si>
    <t>335.523 ms</t>
  </si>
  <si>
    <t>195.144 ms</t>
  </si>
  <si>
    <t>252.267 ms</t>
  </si>
  <si>
    <t>198.903 ms</t>
  </si>
  <si>
    <t>210.534 ms</t>
  </si>
  <si>
    <t>193.925 ms</t>
  </si>
  <si>
    <t>220.683 ms</t>
  </si>
  <si>
    <t>194.782 ms</t>
  </si>
  <si>
    <t>306.172 ms</t>
  </si>
  <si>
    <t>195.304 ms</t>
  </si>
  <si>
    <t>117.849 ms</t>
  </si>
  <si>
    <t>194.04 ms</t>
  </si>
  <si>
    <t>275.441 ms</t>
  </si>
  <si>
    <t>196.753 ms</t>
  </si>
  <si>
    <t>222.043 ms</t>
  </si>
  <si>
    <t>196.274 ms</t>
  </si>
  <si>
    <t>448.742 ms</t>
  </si>
  <si>
    <t>197.162 ms</t>
  </si>
  <si>
    <t>306.268 ms</t>
  </si>
  <si>
    <t>199.893 ms</t>
  </si>
  <si>
    <t>574.298 ms</t>
  </si>
  <si>
    <t>194.531 ms</t>
  </si>
  <si>
    <t>336.061 ms</t>
  </si>
  <si>
    <t>201.357 ms</t>
  </si>
  <si>
    <t>147.496 ms</t>
  </si>
  <si>
    <t>209.759 ms</t>
  </si>
  <si>
    <t>342.262 ms</t>
  </si>
  <si>
    <t>198.42 ms</t>
  </si>
  <si>
    <t>429.399 ms</t>
  </si>
  <si>
    <t>200.467 ms</t>
  </si>
  <si>
    <t>82.37 ms</t>
  </si>
  <si>
    <t>206.547 ms</t>
  </si>
  <si>
    <t>298.419 ms</t>
  </si>
  <si>
    <t>196.678 ms</t>
  </si>
  <si>
    <t>154.887 ms</t>
  </si>
  <si>
    <t>199.013 ms</t>
  </si>
  <si>
    <t>169.966 ms</t>
  </si>
  <si>
    <t>199.431 ms</t>
  </si>
  <si>
    <t>77.481 ms</t>
  </si>
  <si>
    <t>199.038 ms</t>
  </si>
  <si>
    <t>119.537 ms</t>
  </si>
  <si>
    <t>202.913 ms</t>
  </si>
  <si>
    <t>273.546 ms</t>
  </si>
  <si>
    <t>204.675 ms</t>
  </si>
  <si>
    <t>465.442 ms</t>
  </si>
  <si>
    <t>200.306 ms</t>
  </si>
  <si>
    <t>386.441 ms</t>
  </si>
  <si>
    <t>201.054 ms</t>
  </si>
  <si>
    <t>62.1619 ms</t>
  </si>
  <si>
    <t>197.629 ms</t>
  </si>
  <si>
    <t>265.987 ms</t>
  </si>
  <si>
    <t>196.337 ms</t>
  </si>
  <si>
    <t>403.92 ms</t>
  </si>
  <si>
    <t>196.388 ms</t>
  </si>
  <si>
    <t>140.116 ms</t>
  </si>
  <si>
    <t>196.995 ms</t>
  </si>
  <si>
    <t>462.046 ms</t>
  </si>
  <si>
    <t>196.075 ms</t>
  </si>
  <si>
    <t>90.4651 ms</t>
  </si>
  <si>
    <t>196.234 ms</t>
  </si>
  <si>
    <t>424.804 ms</t>
  </si>
  <si>
    <t>195.278 ms</t>
  </si>
  <si>
    <t>215.863 ms</t>
  </si>
  <si>
    <t>219.023 ms</t>
  </si>
  <si>
    <t>639.858 ms</t>
  </si>
  <si>
    <t>208.998 ms</t>
  </si>
  <si>
    <t>250.483 ms</t>
  </si>
  <si>
    <t>1000w规模下</t>
    <phoneticPr fontId="1" type="noConversion"/>
  </si>
  <si>
    <t>200.04 ms</t>
  </si>
  <si>
    <t>401.885 ms</t>
  </si>
  <si>
    <t>206.436 ms</t>
  </si>
  <si>
    <t>174.639 ms</t>
  </si>
  <si>
    <t>199.11 ms</t>
  </si>
  <si>
    <t>301.177 ms</t>
  </si>
  <si>
    <t>194.361 ms</t>
  </si>
  <si>
    <t>317.842 ms</t>
  </si>
  <si>
    <t>196.526 ms</t>
  </si>
  <si>
    <t>250.181 ms</t>
  </si>
  <si>
    <t>195.871 ms</t>
  </si>
  <si>
    <t>191.863 ms</t>
  </si>
  <si>
    <t>197.531 ms</t>
  </si>
  <si>
    <t>255.885 ms</t>
  </si>
  <si>
    <t>199.011 ms</t>
  </si>
  <si>
    <t>168.66 ms</t>
  </si>
  <si>
    <t>199.929 ms</t>
  </si>
  <si>
    <t>308.967 ms</t>
  </si>
  <si>
    <t>194.156 ms</t>
  </si>
  <si>
    <t>234.433 ms</t>
  </si>
  <si>
    <t>218.795 ms</t>
  </si>
  <si>
    <t>276.56 ms</t>
  </si>
  <si>
    <t>205.1 ms</t>
  </si>
  <si>
    <t>386.529 ms</t>
  </si>
  <si>
    <t>196.141 ms</t>
  </si>
  <si>
    <t>103.042 ms</t>
  </si>
  <si>
    <t>209.665 ms</t>
  </si>
  <si>
    <t>228.842 ms</t>
  </si>
  <si>
    <t>219.88 ms</t>
  </si>
  <si>
    <t>409.321 ms</t>
  </si>
  <si>
    <t>198.681 ms</t>
  </si>
  <si>
    <t>155.244 ms</t>
  </si>
  <si>
    <t>194.311 ms</t>
  </si>
  <si>
    <t>106.398 ms</t>
  </si>
  <si>
    <t>199.993 ms</t>
  </si>
  <si>
    <t>336.573 ms</t>
  </si>
  <si>
    <t>199.563 ms</t>
  </si>
  <si>
    <t>143.448 ms</t>
  </si>
  <si>
    <t>195.054 ms</t>
  </si>
  <si>
    <t>43.1869 ms</t>
  </si>
  <si>
    <t>251.628 ms</t>
  </si>
  <si>
    <t>129.351 ms</t>
  </si>
  <si>
    <t>246.666 ms</t>
  </si>
  <si>
    <t>218.525 ms</t>
  </si>
  <si>
    <t>253.456 ms</t>
  </si>
  <si>
    <t>52.881 ms</t>
  </si>
  <si>
    <t>251.564 ms</t>
  </si>
  <si>
    <t>325.169 ms</t>
  </si>
  <si>
    <t>249.48 ms</t>
  </si>
  <si>
    <t>234.629 ms</t>
  </si>
  <si>
    <t>269.898 ms</t>
  </si>
  <si>
    <t>104.039 ms</t>
  </si>
  <si>
    <t>259.796 ms</t>
  </si>
  <si>
    <t>133.778 ms</t>
  </si>
  <si>
    <t>262.005 ms</t>
  </si>
  <si>
    <t>271.684 ms</t>
  </si>
  <si>
    <t>250.649 ms</t>
  </si>
  <si>
    <t>145.156 ms</t>
  </si>
  <si>
    <t>253.187 ms</t>
  </si>
  <si>
    <t>285.724 ms</t>
  </si>
  <si>
    <t>261.218 ms</t>
  </si>
  <si>
    <t>446.092 ms</t>
  </si>
  <si>
    <t>253.562 ms</t>
  </si>
  <si>
    <t>152.893 ms</t>
  </si>
  <si>
    <t>252.084 ms</t>
  </si>
  <si>
    <t>332.971 ms</t>
  </si>
  <si>
    <t>247.591 ms</t>
  </si>
  <si>
    <t>385.719 ms</t>
  </si>
  <si>
    <t>247.227 ms</t>
  </si>
  <si>
    <t>185.183 ms</t>
  </si>
  <si>
    <t>247.961 ms</t>
  </si>
  <si>
    <t>361.274 ms</t>
  </si>
  <si>
    <t>252.06 ms</t>
  </si>
  <si>
    <t>383.762 ms</t>
  </si>
  <si>
    <t>251.054 ms</t>
  </si>
  <si>
    <t>184.633 ms</t>
  </si>
  <si>
    <t>246.395 ms</t>
  </si>
  <si>
    <t>311.844 ms</t>
  </si>
  <si>
    <t>249.766 ms</t>
  </si>
  <si>
    <t>403.597 ms</t>
  </si>
  <si>
    <t>621.601 ms</t>
  </si>
  <si>
    <t>444.349 ms</t>
  </si>
  <si>
    <t>611.381 ms</t>
  </si>
  <si>
    <t>126.266 ms</t>
  </si>
  <si>
    <t>620.696 ms</t>
  </si>
  <si>
    <t>128.257 ms</t>
  </si>
  <si>
    <t>641.114 ms</t>
  </si>
  <si>
    <t>632.478 ms</t>
  </si>
  <si>
    <t>647.306 ms</t>
  </si>
  <si>
    <t>90.467 ms</t>
  </si>
  <si>
    <t>681.294 ms</t>
  </si>
  <si>
    <t>205.821 ms</t>
  </si>
  <si>
    <t>671.394 ms</t>
  </si>
  <si>
    <t>233.109 ms</t>
  </si>
  <si>
    <t>621.475 ms</t>
  </si>
  <si>
    <t>331.139 ms</t>
  </si>
  <si>
    <t>645.591 ms</t>
  </si>
  <si>
    <t>448.342 ms</t>
  </si>
  <si>
    <t>667.933 ms</t>
  </si>
  <si>
    <t>149.684 ms</t>
  </si>
  <si>
    <t>621.718 ms</t>
  </si>
  <si>
    <t>221.241 ms</t>
  </si>
  <si>
    <t>613.519 ms</t>
  </si>
  <si>
    <t>118.851 ms</t>
  </si>
  <si>
    <t>668.759 ms</t>
  </si>
  <si>
    <t>321.124 ms</t>
  </si>
  <si>
    <t>615.817 ms</t>
  </si>
  <si>
    <t>69.7489 ms</t>
  </si>
  <si>
    <t>635.05 ms</t>
  </si>
  <si>
    <t>287.429 ms</t>
  </si>
  <si>
    <t>633.926 ms</t>
  </si>
  <si>
    <t>162.02 ms</t>
  </si>
  <si>
    <t>624.09 ms</t>
  </si>
  <si>
    <t>69.555 ms</t>
  </si>
  <si>
    <t>634.134 ms</t>
  </si>
  <si>
    <t>213.449 ms</t>
  </si>
  <si>
    <t>620.422 ms</t>
  </si>
  <si>
    <t>195.282 ms</t>
  </si>
  <si>
    <t>633.519 ms</t>
  </si>
  <si>
    <t>343.228 ms</t>
  </si>
  <si>
    <t>3879.16 ms</t>
  </si>
  <si>
    <t>812.588 ms</t>
  </si>
  <si>
    <t>3892.18 ms</t>
  </si>
  <si>
    <t>701.637 ms</t>
  </si>
  <si>
    <t>3956.37 ms</t>
  </si>
  <si>
    <t>546.694 ms</t>
  </si>
  <si>
    <t>3886.02 ms</t>
  </si>
  <si>
    <t>855.336 ms</t>
  </si>
  <si>
    <t>3918.15 ms</t>
  </si>
  <si>
    <t>700.817 ms</t>
  </si>
  <si>
    <t>3939.5 ms</t>
  </si>
  <si>
    <t>495.983 ms</t>
  </si>
  <si>
    <t>3891.78 ms</t>
  </si>
  <si>
    <t>691.494 ms</t>
  </si>
  <si>
    <t>3988.84 ms</t>
  </si>
  <si>
    <t>729.23 ms</t>
  </si>
  <si>
    <t>3997.31 ms</t>
  </si>
  <si>
    <t>747.23 ms</t>
  </si>
  <si>
    <t>3926.58 ms</t>
  </si>
  <si>
    <t>809.01 ms</t>
  </si>
  <si>
    <t>3870.94 ms</t>
  </si>
  <si>
    <t>724.412 ms</t>
  </si>
  <si>
    <t>3996.54 ms</t>
  </si>
  <si>
    <t>844.549 ms</t>
  </si>
  <si>
    <t>3867.62 ms</t>
  </si>
  <si>
    <t>689.871 ms</t>
  </si>
  <si>
    <t>3847.69 ms</t>
  </si>
  <si>
    <t>660.042 ms</t>
  </si>
  <si>
    <t>4310.79 ms</t>
  </si>
  <si>
    <t>671.034 ms</t>
  </si>
  <si>
    <t>4045.2 ms</t>
  </si>
  <si>
    <t>590.832 ms</t>
  </si>
  <si>
    <t>4068.57 ms</t>
  </si>
  <si>
    <t>857.489 ms</t>
  </si>
  <si>
    <t>4028.17 ms</t>
  </si>
  <si>
    <t>603.357 ms</t>
  </si>
  <si>
    <t>4095.53 ms</t>
  </si>
  <si>
    <t>626.34 ms</t>
  </si>
  <si>
    <t>3936.74 ms</t>
  </si>
  <si>
    <t>565.186 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</si>
</sst>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rgb="FF404040"/>
      <name val="等线"/>
      <family val="3"/>
      <charset val="134"/>
    </font>
    <font>
      <sz val="11"/>
      <color theme="1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堆选择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Sheet1!$K$3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Sheet1!$L$2:$S$2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Sheet1!$L$3:$S$3</c:f>
              <c:numCache>
                <c:formatCode>General</c:formatCode>
                <c:ptCount val="8"/>
                <c:pt idx="0">
                  <c:v>19.520585000000001</c:v>
                </c:pt>
                <c:pt idx="1">
                  <c:v>97.602924999999999</c:v>
                </c:pt>
                <c:pt idx="2">
                  <c:v>195.20585</c:v>
                </c:pt>
                <c:pt idx="3">
                  <c:v>488.01462500000002</c:v>
                </c:pt>
                <c:pt idx="4">
                  <c:v>976.02925000000005</c:v>
                </c:pt>
                <c:pt idx="5">
                  <c:v>1464.0438750000001</c:v>
                </c:pt>
                <c:pt idx="6">
                  <c:v>1952.0585000000001</c:v>
                </c:pt>
                <c:pt idx="7">
                  <c:v>3904.1170000000002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A5A-444F-A9F1-4705D02FD791}"/>
            </c:ext>
          </c:extLst>
        </c:ser>
        <c:ser>
          <c:idx val="1"/>
          <c:order val="1"/>
          <c:tx>
            <c:strRef>
              <c:f>Sheet1!$K$4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Sheet1!$L$2:$S$2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Sheet1!$L$4:$S$4</c:f>
              <c:numCache>
                <c:formatCode>General</c:formatCode>
                <c:ptCount val="8"/>
                <c:pt idx="0">
                  <c:v>19.510825000000001</c:v>
                </c:pt>
                <c:pt idx="1">
                  <c:v>98.493195</c:v>
                </c:pt>
                <c:pt idx="2">
                  <c:v>195.20585</c:v>
                </c:pt>
                <c:pt idx="3">
                  <c:v>483.58515000000006</c:v>
                </c:pt>
                <c:pt idx="4">
                  <c:v>971.64080000000013</c:v>
                </c:pt>
                <c:pt idx="5">
                  <c:v>1426.6365000000001</c:v>
                </c:pt>
                <c:pt idx="6">
                  <c:v>1898.4885000000002</c:v>
                </c:pt>
                <c:pt idx="7">
                  <c:v>3801.7935000000007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A5A-444F-A9F1-4705D02FD7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22993968"/>
        <c:axId val="954479200"/>
      </c:scatterChart>
      <c:valAx>
        <c:axId val="1222993968"/>
        <c:scaling>
          <c:orientation val="minMax"/>
          <c:max val="2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4479200"/>
        <c:crosses val="autoZero"/>
        <c:crossBetween val="midCat"/>
      </c:valAx>
      <c:valAx>
        <c:axId val="954479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229939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选择排序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Sheet1!$B$2:$I$2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Sheet1!$B$3:$I$3</c:f>
              <c:numCache>
                <c:formatCode>General</c:formatCode>
                <c:ptCount val="8"/>
                <c:pt idx="0">
                  <c:v>40.707565000000002</c:v>
                </c:pt>
                <c:pt idx="1">
                  <c:v>203.537825</c:v>
                </c:pt>
                <c:pt idx="2">
                  <c:v>407.07565</c:v>
                </c:pt>
                <c:pt idx="3">
                  <c:v>1017.689125</c:v>
                </c:pt>
                <c:pt idx="4">
                  <c:v>2035.37825</c:v>
                </c:pt>
                <c:pt idx="5">
                  <c:v>3053.0673750000001</c:v>
                </c:pt>
                <c:pt idx="6">
                  <c:v>4070.7565</c:v>
                </c:pt>
                <c:pt idx="7">
                  <c:v>8141.5129999999999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FF-44F5-B20B-383CD838554E}"/>
            </c:ext>
          </c:extLst>
        </c:ser>
        <c:ser>
          <c:idx val="1"/>
          <c:order val="1"/>
          <c:tx>
            <c:strRef>
              <c:f>Sheet1!$A$4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Sheet1!$B$2:$I$2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Sheet1!$B$4:$I$4</c:f>
              <c:numCache>
                <c:formatCode>General</c:formatCode>
                <c:ptCount val="8"/>
                <c:pt idx="0">
                  <c:v>40.281020000000005</c:v>
                </c:pt>
                <c:pt idx="1">
                  <c:v>210.99560000000002</c:v>
                </c:pt>
                <c:pt idx="2">
                  <c:v>407.07565</c:v>
                </c:pt>
                <c:pt idx="3">
                  <c:v>1021.4837</c:v>
                </c:pt>
                <c:pt idx="4">
                  <c:v>2008.1740000000002</c:v>
                </c:pt>
                <c:pt idx="5">
                  <c:v>2976.8685</c:v>
                </c:pt>
                <c:pt idx="6">
                  <c:v>3964.5245000000004</c:v>
                </c:pt>
                <c:pt idx="7">
                  <c:v>7896.7699999999986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8FF-44F5-B20B-383CD83855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66862016"/>
        <c:axId val="966864416"/>
      </c:scatterChart>
      <c:valAx>
        <c:axId val="966862016"/>
        <c:scaling>
          <c:orientation val="minMax"/>
          <c:max val="2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864416"/>
        <c:crosses val="autoZero"/>
        <c:crossBetween val="midCat"/>
      </c:valAx>
      <c:valAx>
        <c:axId val="966864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66862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快速选择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Sheet1!$U$3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Sheet1!$V$2:$AC$2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Sheet1!$V$3:$AC$3</c:f>
              <c:numCache>
                <c:formatCode>General</c:formatCode>
                <c:ptCount val="8"/>
                <c:pt idx="0">
                  <c:v>20.913484500000006</c:v>
                </c:pt>
                <c:pt idx="1">
                  <c:v>104.56742250000002</c:v>
                </c:pt>
                <c:pt idx="2">
                  <c:v>209.13484500000004</c:v>
                </c:pt>
                <c:pt idx="3">
                  <c:v>522.8371125000001</c:v>
                </c:pt>
                <c:pt idx="4">
                  <c:v>1045.6742250000002</c:v>
                </c:pt>
                <c:pt idx="5">
                  <c:v>1568.5113375000003</c:v>
                </c:pt>
                <c:pt idx="6">
                  <c:v>2091.3484500000004</c:v>
                </c:pt>
                <c:pt idx="7">
                  <c:v>4182.6969000000008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E95-4CB2-9861-5DCB8CC47CA8}"/>
            </c:ext>
          </c:extLst>
        </c:ser>
        <c:ser>
          <c:idx val="1"/>
          <c:order val="1"/>
          <c:tx>
            <c:strRef>
              <c:f>Sheet1!$U$4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Sheet1!$V$2:$AC$2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Sheet1!$V$4:$AC$4</c:f>
              <c:numCache>
                <c:formatCode>General</c:formatCode>
                <c:ptCount val="8"/>
                <c:pt idx="0">
                  <c:v>18.503424000000003</c:v>
                </c:pt>
                <c:pt idx="1">
                  <c:v>104.44014999999999</c:v>
                </c:pt>
                <c:pt idx="2">
                  <c:v>209.13484500000004</c:v>
                </c:pt>
                <c:pt idx="3">
                  <c:v>569.01384499999995</c:v>
                </c:pt>
                <c:pt idx="4">
                  <c:v>856.60554999999999</c:v>
                </c:pt>
                <c:pt idx="5">
                  <c:v>1691.9511500000001</c:v>
                </c:pt>
                <c:pt idx="6">
                  <c:v>2416.6136000000001</c:v>
                </c:pt>
                <c:pt idx="7">
                  <c:v>4526.8979999999992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E95-4CB2-9861-5DCB8CC47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46038800"/>
        <c:axId val="954478720"/>
      </c:scatterChart>
      <c:valAx>
        <c:axId val="346038800"/>
        <c:scaling>
          <c:orientation val="minMax"/>
          <c:max val="2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954478720"/>
        <c:crosses val="autoZero"/>
        <c:crossBetween val="midCat"/>
      </c:valAx>
      <c:valAx>
        <c:axId val="954478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460388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算法对比</a:t>
            </a:r>
            <a:endParaRPr lang="en-US" alt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 altLang="zh-CN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选择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Sheet1!$B$2:$I$2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Sheet1!$B$4:$I$4</c:f>
              <c:numCache>
                <c:formatCode>General</c:formatCode>
                <c:ptCount val="8"/>
                <c:pt idx="0">
                  <c:v>40.281020000000005</c:v>
                </c:pt>
                <c:pt idx="1">
                  <c:v>210.99560000000002</c:v>
                </c:pt>
                <c:pt idx="2">
                  <c:v>407.07565</c:v>
                </c:pt>
                <c:pt idx="3">
                  <c:v>1021.4837</c:v>
                </c:pt>
                <c:pt idx="4">
                  <c:v>2008.1740000000002</c:v>
                </c:pt>
                <c:pt idx="5">
                  <c:v>2976.8685</c:v>
                </c:pt>
                <c:pt idx="6">
                  <c:v>3964.5245000000004</c:v>
                </c:pt>
                <c:pt idx="7">
                  <c:v>7896.7699999999986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E76-4B5E-BD7A-B3C15E80929B}"/>
            </c:ext>
          </c:extLst>
        </c:ser>
        <c:ser>
          <c:idx val="0"/>
          <c:order val="1"/>
          <c:tx>
            <c:v>堆选择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Sheet1!$L$2:$S$2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Sheet1!$L$4:$S$4</c:f>
              <c:numCache>
                <c:formatCode>General</c:formatCode>
                <c:ptCount val="8"/>
                <c:pt idx="0">
                  <c:v>19.510825000000001</c:v>
                </c:pt>
                <c:pt idx="1">
                  <c:v>98.493195</c:v>
                </c:pt>
                <c:pt idx="2">
                  <c:v>195.20585</c:v>
                </c:pt>
                <c:pt idx="3">
                  <c:v>483.58515000000006</c:v>
                </c:pt>
                <c:pt idx="4">
                  <c:v>971.64080000000013</c:v>
                </c:pt>
                <c:pt idx="5">
                  <c:v>1426.6365000000001</c:v>
                </c:pt>
                <c:pt idx="6">
                  <c:v>1898.4885000000002</c:v>
                </c:pt>
                <c:pt idx="7">
                  <c:v>3801.7935000000007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8E76-4B5E-BD7A-B3C15E80929B}"/>
            </c:ext>
          </c:extLst>
        </c:ser>
        <c:ser>
          <c:idx val="2"/>
          <c:order val="2"/>
          <c:tx>
            <c:v>快速选择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Sheet1!$V$2:$AC$2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Sheet1!$V$4:$AC$4</c:f>
              <c:numCache>
                <c:formatCode>General</c:formatCode>
                <c:ptCount val="8"/>
                <c:pt idx="0">
                  <c:v>18.503424000000003</c:v>
                </c:pt>
                <c:pt idx="1">
                  <c:v>104.44014999999999</c:v>
                </c:pt>
                <c:pt idx="2">
                  <c:v>209.13484500000004</c:v>
                </c:pt>
                <c:pt idx="3">
                  <c:v>569.01384499999995</c:v>
                </c:pt>
                <c:pt idx="4">
                  <c:v>856.60554999999999</c:v>
                </c:pt>
                <c:pt idx="5">
                  <c:v>1691.9511500000001</c:v>
                </c:pt>
                <c:pt idx="6">
                  <c:v>2416.6136000000001</c:v>
                </c:pt>
                <c:pt idx="7">
                  <c:v>4526.8979999999992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8E76-4B5E-BD7A-B3C15E80929B}"/>
            </c:ext>
          </c:extLst>
        </c:ser>
        <c:ser>
          <c:idx val="3"/>
          <c:order val="3"/>
          <c:tx>
            <c:v>分组堆选择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Sheet1!$AF$2:$AM$2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Sheet1!$AF$4:$AM$4</c:f>
              <c:numCache>
                <c:formatCode>General</c:formatCode>
                <c:ptCount val="8"/>
                <c:pt idx="0">
                  <c:v>20.224619999999998</c:v>
                </c:pt>
                <c:pt idx="1">
                  <c:v>100.14386</c:v>
                </c:pt>
                <c:pt idx="2">
                  <c:v>199.91579999999999</c:v>
                </c:pt>
                <c:pt idx="3">
                  <c:v>498.83584999999982</c:v>
                </c:pt>
                <c:pt idx="4">
                  <c:v>999.98554999999999</c:v>
                </c:pt>
                <c:pt idx="5">
                  <c:v>1530.3215</c:v>
                </c:pt>
                <c:pt idx="6">
                  <c:v>1999.9290000000001</c:v>
                </c:pt>
                <c:pt idx="7">
                  <c:v>3976.0929999999998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3C1-4F13-8CB0-680A5129F8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5899360"/>
        <c:axId val="1455900320"/>
      </c:scatterChart>
      <c:valAx>
        <c:axId val="1455899360"/>
        <c:scaling>
          <c:orientation val="minMax"/>
          <c:max val="2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5900320"/>
        <c:crosses val="autoZero"/>
        <c:crossBetween val="midCat"/>
      </c:valAx>
      <c:valAx>
        <c:axId val="145590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45589936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分组堆选择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Sheet1!$AE$3</c:f>
              <c:strCache>
                <c:ptCount val="1"/>
                <c:pt idx="0">
                  <c:v>理论时间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Sheet1!$AF$2:$AM$2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Sheet1!$AF$3:$AM$3</c:f>
              <c:numCache>
                <c:formatCode>General</c:formatCode>
                <c:ptCount val="8"/>
                <c:pt idx="0">
                  <c:v>19.991579999999999</c:v>
                </c:pt>
                <c:pt idx="1">
                  <c:v>99.957899999999995</c:v>
                </c:pt>
                <c:pt idx="2">
                  <c:v>199.91579999999999</c:v>
                </c:pt>
                <c:pt idx="3">
                  <c:v>499.78949999999998</c:v>
                </c:pt>
                <c:pt idx="4">
                  <c:v>999.57899999999995</c:v>
                </c:pt>
                <c:pt idx="5">
                  <c:v>1499.3685</c:v>
                </c:pt>
                <c:pt idx="6">
                  <c:v>1999.1579999999999</c:v>
                </c:pt>
                <c:pt idx="7">
                  <c:v>3998.3159999999998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CE97-4114-9296-BFA911EC4751}"/>
            </c:ext>
          </c:extLst>
        </c:ser>
        <c:ser>
          <c:idx val="1"/>
          <c:order val="1"/>
          <c:tx>
            <c:strRef>
              <c:f>Sheet1!$AE$4</c:f>
              <c:strCache>
                <c:ptCount val="1"/>
                <c:pt idx="0">
                  <c:v>平均时间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Sheet1!$AF$2:$AM$2</c:f>
              <c:numCache>
                <c:formatCode>General</c:formatCode>
                <c:ptCount val="8"/>
                <c:pt idx="0">
                  <c:v>1000000</c:v>
                </c:pt>
                <c:pt idx="1">
                  <c:v>5000000</c:v>
                </c:pt>
                <c:pt idx="2">
                  <c:v>10000000</c:v>
                </c:pt>
                <c:pt idx="3">
                  <c:v>25000000</c:v>
                </c:pt>
                <c:pt idx="4">
                  <c:v>50000000</c:v>
                </c:pt>
                <c:pt idx="5">
                  <c:v>75000000</c:v>
                </c:pt>
                <c:pt idx="6">
                  <c:v>100000000</c:v>
                </c:pt>
                <c:pt idx="7">
                  <c:v>200000000</c:v>
                </c:pt>
              </c:numCache>
            </c:numRef>
          </c:xVal>
          <c:yVal>
            <c:numRef>
              <c:f>Sheet1!$AF$4:$AM$4</c:f>
              <c:numCache>
                <c:formatCode>General</c:formatCode>
                <c:ptCount val="8"/>
                <c:pt idx="0">
                  <c:v>20.224619999999998</c:v>
                </c:pt>
                <c:pt idx="1">
                  <c:v>100.14386</c:v>
                </c:pt>
                <c:pt idx="2">
                  <c:v>199.91579999999999</c:v>
                </c:pt>
                <c:pt idx="3">
                  <c:v>498.83584999999982</c:v>
                </c:pt>
                <c:pt idx="4">
                  <c:v>999.98554999999999</c:v>
                </c:pt>
                <c:pt idx="5">
                  <c:v>1530.3215</c:v>
                </c:pt>
                <c:pt idx="6">
                  <c:v>1999.9290000000001</c:v>
                </c:pt>
                <c:pt idx="7">
                  <c:v>3976.0929999999998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E97-4114-9296-BFA911EC4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2890704"/>
        <c:axId val="1812894064"/>
      </c:scatterChart>
      <c:valAx>
        <c:axId val="1812890704"/>
        <c:scaling>
          <c:orientation val="minMax"/>
          <c:max val="20000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2894064"/>
        <c:crosses val="autoZero"/>
        <c:crossBetween val="midCat"/>
      </c:valAx>
      <c:valAx>
        <c:axId val="18128940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1289070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/>
              <a:t>1000w</a:t>
            </a:r>
            <a:r>
              <a:rPr lang="zh-CN" altLang="en-US"/>
              <a:t>规模下</a:t>
            </a:r>
            <a:r>
              <a:rPr lang="en-US" altLang="zh-CN"/>
              <a:t>K</a:t>
            </a:r>
            <a:r>
              <a:rPr lang="zh-CN" altLang="en-US"/>
              <a:t>的选取对算法的影响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堆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Sheet1!$BB$3:$BF$3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Sheet1!$BB$4:$BF$4</c:f>
              <c:numCache>
                <c:formatCode>General</c:formatCode>
                <c:ptCount val="5"/>
                <c:pt idx="0">
                  <c:v>198.93574999999998</c:v>
                </c:pt>
                <c:pt idx="1">
                  <c:v>200.57494999999997</c:v>
                </c:pt>
                <c:pt idx="2">
                  <c:v>201.00770000000003</c:v>
                </c:pt>
                <c:pt idx="3">
                  <c:v>252.86234999999996</c:v>
                </c:pt>
                <c:pt idx="4">
                  <c:v>636.53695000000005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401-4E0D-BBD8-60D032DF044D}"/>
            </c:ext>
          </c:extLst>
        </c:ser>
        <c:ser>
          <c:idx val="1"/>
          <c:order val="1"/>
          <c:tx>
            <c:v>快速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Sheet1!$BJ$3:$BN$3</c:f>
              <c:numCache>
                <c:formatCode>General</c:formatCode>
                <c:ptCount val="5"/>
                <c:pt idx="0">
                  <c:v>10</c:v>
                </c:pt>
                <c:pt idx="1">
                  <c:v>100</c:v>
                </c:pt>
                <c:pt idx="2">
                  <c:v>1000</c:v>
                </c:pt>
                <c:pt idx="3">
                  <c:v>10000</c:v>
                </c:pt>
                <c:pt idx="4">
                  <c:v>100000</c:v>
                </c:pt>
              </c:numCache>
            </c:numRef>
          </c:xVal>
          <c:yVal>
            <c:numRef>
              <c:f>Sheet1!$BJ$4:$BN$4</c:f>
              <c:numCache>
                <c:formatCode>General</c:formatCode>
                <c:ptCount val="5"/>
                <c:pt idx="0">
                  <c:v>283.17659999999995</c:v>
                </c:pt>
                <c:pt idx="1">
                  <c:v>270.65960000000007</c:v>
                </c:pt>
                <c:pt idx="2">
                  <c:v>239.73379500000001</c:v>
                </c:pt>
                <c:pt idx="3">
                  <c:v>252.44519999999997</c:v>
                </c:pt>
                <c:pt idx="4">
                  <c:v>239.59199500000005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401-4E0D-BBD8-60D032DF04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93187503"/>
        <c:axId val="1293185103"/>
      </c:scatterChart>
      <c:valAx>
        <c:axId val="1293187503"/>
        <c:scaling>
          <c:orientation val="minMax"/>
          <c:max val="1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3185103"/>
        <c:crosses val="autoZero"/>
        <c:crossBetween val="midCat"/>
      </c:valAx>
      <c:valAx>
        <c:axId val="12931851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29318750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54768</xdr:colOff>
      <xdr:row>5</xdr:row>
      <xdr:rowOff>145255</xdr:rowOff>
    </xdr:from>
    <xdr:to>
      <xdr:col>18</xdr:col>
      <xdr:colOff>21431</xdr:colOff>
      <xdr:row>21</xdr:row>
      <xdr:rowOff>69055</xdr:rowOff>
    </xdr:to>
    <xdr:graphicFrame macro="">
      <xdr:nvGraphicFramePr>
        <xdr:cNvPr id="4" name="图表 3">
          <a:extLst>
            <a:ext uri="{FF2B5EF4-FFF2-40B4-BE49-F238E27FC236}">
              <a16:creationId xmlns:a16="http://schemas.microsoft.com/office/drawing/2014/main" id="{73649597-EAE4-CF08-C05A-FCA8CFB111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83344</xdr:colOff>
      <xdr:row>5</xdr:row>
      <xdr:rowOff>92868</xdr:rowOff>
    </xdr:from>
    <xdr:to>
      <xdr:col>8</xdr:col>
      <xdr:colOff>50006</xdr:colOff>
      <xdr:row>21</xdr:row>
      <xdr:rowOff>16668</xdr:rowOff>
    </xdr:to>
    <xdr:graphicFrame macro="">
      <xdr:nvGraphicFramePr>
        <xdr:cNvPr id="5" name="图表 4">
          <a:extLst>
            <a:ext uri="{FF2B5EF4-FFF2-40B4-BE49-F238E27FC236}">
              <a16:creationId xmlns:a16="http://schemas.microsoft.com/office/drawing/2014/main" id="{1EA6669F-5A4F-46C7-2B7D-B517DFC958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21</xdr:col>
      <xdr:colOff>92868</xdr:colOff>
      <xdr:row>6</xdr:row>
      <xdr:rowOff>26193</xdr:rowOff>
    </xdr:from>
    <xdr:to>
      <xdr:col>28</xdr:col>
      <xdr:colOff>59530</xdr:colOff>
      <xdr:row>21</xdr:row>
      <xdr:rowOff>126205</xdr:rowOff>
    </xdr:to>
    <xdr:graphicFrame macro="">
      <xdr:nvGraphicFramePr>
        <xdr:cNvPr id="7" name="图表 6">
          <a:extLst>
            <a:ext uri="{FF2B5EF4-FFF2-40B4-BE49-F238E27FC236}">
              <a16:creationId xmlns:a16="http://schemas.microsoft.com/office/drawing/2014/main" id="{3300695C-8649-3035-DBAD-B207AEDCF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40</xdr:col>
      <xdr:colOff>245266</xdr:colOff>
      <xdr:row>1</xdr:row>
      <xdr:rowOff>135731</xdr:rowOff>
    </xdr:from>
    <xdr:to>
      <xdr:col>49</xdr:col>
      <xdr:colOff>419099</xdr:colOff>
      <xdr:row>23</xdr:row>
      <xdr:rowOff>80962</xdr:rowOff>
    </xdr:to>
    <xdr:graphicFrame macro="">
      <xdr:nvGraphicFramePr>
        <xdr:cNvPr id="9" name="图表 8">
          <a:extLst>
            <a:ext uri="{FF2B5EF4-FFF2-40B4-BE49-F238E27FC236}">
              <a16:creationId xmlns:a16="http://schemas.microsoft.com/office/drawing/2014/main" id="{1BF32ECD-AD73-6E4E-27E8-015E261A9D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31</xdr:col>
      <xdr:colOff>211931</xdr:colOff>
      <xdr:row>6</xdr:row>
      <xdr:rowOff>35719</xdr:rowOff>
    </xdr:from>
    <xdr:to>
      <xdr:col>38</xdr:col>
      <xdr:colOff>102393</xdr:colOff>
      <xdr:row>21</xdr:row>
      <xdr:rowOff>135731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71CDD578-7CF9-430F-3C89-5767C6BDB7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54</xdr:col>
      <xdr:colOff>566737</xdr:colOff>
      <xdr:row>6</xdr:row>
      <xdr:rowOff>73818</xdr:rowOff>
    </xdr:from>
    <xdr:to>
      <xdr:col>64</xdr:col>
      <xdr:colOff>280987</xdr:colOff>
      <xdr:row>21</xdr:row>
      <xdr:rowOff>173830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D892280-350E-F42F-1EC9-E7C851208C7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W134"/>
  <sheetViews>
    <sheetView tabSelected="1" topLeftCell="AX1" workbookViewId="0">
      <selection activeCell="BP10" sqref="BP10"/>
    </sheetView>
  </sheetViews>
  <sheetFormatPr defaultRowHeight="13.9" x14ac:dyDescent="0.4"/>
  <cols>
    <col min="1" max="7" width="9.06640625" style="3"/>
    <col min="8" max="9" width="10.06640625" style="3" bestFit="1" customWidth="1"/>
    <col min="10" max="17" width="9.06640625" style="3"/>
    <col min="18" max="19" width="10.06640625" style="3" bestFit="1" customWidth="1"/>
    <col min="20" max="27" width="9.06640625" style="3"/>
    <col min="28" max="29" width="10.06640625" style="3" bestFit="1" customWidth="1"/>
    <col min="30" max="30" width="9.06640625" style="3"/>
    <col min="31" max="31" width="12.1328125" style="3" customWidth="1"/>
    <col min="32" max="37" width="9.06640625" style="3"/>
    <col min="38" max="38" width="11.1328125" style="3" bestFit="1" customWidth="1"/>
    <col min="39" max="39" width="10.06640625" style="3" bestFit="1" customWidth="1"/>
    <col min="40" max="51" width="9.06640625" style="3"/>
    <col min="52" max="52" width="11.53125" style="3" customWidth="1"/>
    <col min="53" max="53" width="9.06640625" style="3"/>
    <col min="54" max="54" width="12.9296875" style="3" customWidth="1"/>
    <col min="55" max="16384" width="9.06640625" style="3"/>
  </cols>
  <sheetData>
    <row r="1" spans="1:75" x14ac:dyDescent="0.4">
      <c r="A1" s="3" t="s">
        <v>0</v>
      </c>
      <c r="B1" s="3" t="s">
        <v>4</v>
      </c>
      <c r="C1" s="3" t="s">
        <v>5</v>
      </c>
      <c r="D1" s="3" t="s">
        <v>6</v>
      </c>
      <c r="E1" s="3" t="s">
        <v>8</v>
      </c>
      <c r="F1" s="3" t="s">
        <v>7</v>
      </c>
      <c r="G1" s="3" t="s">
        <v>9</v>
      </c>
      <c r="H1" s="3" t="s">
        <v>10</v>
      </c>
      <c r="K1" s="3" t="s">
        <v>497</v>
      </c>
      <c r="L1" s="3" t="s">
        <v>4</v>
      </c>
      <c r="M1" s="3" t="s">
        <v>5</v>
      </c>
      <c r="N1" s="3" t="s">
        <v>6</v>
      </c>
      <c r="O1" s="3" t="s">
        <v>8</v>
      </c>
      <c r="P1" s="3" t="s">
        <v>7</v>
      </c>
      <c r="Q1" s="3" t="s">
        <v>9</v>
      </c>
      <c r="R1" s="3" t="s">
        <v>10</v>
      </c>
      <c r="U1" s="3" t="s">
        <v>498</v>
      </c>
      <c r="V1" s="3" t="s">
        <v>4</v>
      </c>
      <c r="W1" s="3" t="s">
        <v>5</v>
      </c>
      <c r="X1" s="3" t="s">
        <v>6</v>
      </c>
      <c r="Y1" s="3" t="s">
        <v>8</v>
      </c>
      <c r="Z1" s="3" t="s">
        <v>7</v>
      </c>
      <c r="AA1" s="3" t="s">
        <v>9</v>
      </c>
      <c r="AB1" s="3" t="s">
        <v>10</v>
      </c>
      <c r="AE1" s="3" t="s">
        <v>675</v>
      </c>
      <c r="AF1" s="3" t="s">
        <v>4</v>
      </c>
      <c r="AG1" s="3" t="s">
        <v>5</v>
      </c>
      <c r="AH1" s="3" t="s">
        <v>6</v>
      </c>
      <c r="AI1" s="3" t="s">
        <v>8</v>
      </c>
      <c r="AJ1" s="3" t="s">
        <v>7</v>
      </c>
      <c r="AK1" s="3" t="s">
        <v>9</v>
      </c>
      <c r="AL1" s="3" t="s">
        <v>10</v>
      </c>
      <c r="AZ1" s="3" t="s">
        <v>758</v>
      </c>
      <c r="BW1" s="3">
        <v>1</v>
      </c>
    </row>
    <row r="2" spans="1:75" x14ac:dyDescent="0.4">
      <c r="A2" s="3" t="s">
        <v>1</v>
      </c>
      <c r="B2" s="3">
        <v>1000000</v>
      </c>
      <c r="C2" s="3">
        <v>5000000</v>
      </c>
      <c r="D2" s="3">
        <v>10000000</v>
      </c>
      <c r="E2" s="3">
        <v>25000000</v>
      </c>
      <c r="F2" s="3">
        <v>50000000</v>
      </c>
      <c r="G2" s="3">
        <v>75000000</v>
      </c>
      <c r="H2" s="3">
        <v>100000000</v>
      </c>
      <c r="I2" s="3">
        <v>200000000</v>
      </c>
      <c r="K2" s="3" t="s">
        <v>1</v>
      </c>
      <c r="L2" s="3">
        <v>1000000</v>
      </c>
      <c r="M2" s="3">
        <v>5000000</v>
      </c>
      <c r="N2" s="3">
        <v>10000000</v>
      </c>
      <c r="O2" s="3">
        <v>25000000</v>
      </c>
      <c r="P2" s="3">
        <v>50000000</v>
      </c>
      <c r="Q2" s="3">
        <v>75000000</v>
      </c>
      <c r="R2" s="3">
        <v>100000000</v>
      </c>
      <c r="S2" s="3">
        <v>200000000</v>
      </c>
      <c r="U2" s="3" t="s">
        <v>1</v>
      </c>
      <c r="V2" s="3">
        <v>1000000</v>
      </c>
      <c r="W2" s="3">
        <v>5000000</v>
      </c>
      <c r="X2" s="3">
        <v>10000000</v>
      </c>
      <c r="Y2" s="3">
        <v>25000000</v>
      </c>
      <c r="Z2" s="3">
        <v>50000000</v>
      </c>
      <c r="AA2" s="3">
        <v>75000000</v>
      </c>
      <c r="AB2" s="3">
        <v>100000000</v>
      </c>
      <c r="AC2" s="3">
        <v>200000000</v>
      </c>
      <c r="AE2" s="3" t="s">
        <v>1</v>
      </c>
      <c r="AF2" s="3">
        <v>1000000</v>
      </c>
      <c r="AG2" s="3">
        <v>5000000</v>
      </c>
      <c r="AH2" s="3">
        <v>10000000</v>
      </c>
      <c r="AI2" s="3">
        <v>25000000</v>
      </c>
      <c r="AJ2" s="3">
        <v>50000000</v>
      </c>
      <c r="AK2" s="3">
        <v>75000000</v>
      </c>
      <c r="AL2" s="3">
        <v>100000000</v>
      </c>
      <c r="AM2" s="3">
        <v>200000000</v>
      </c>
      <c r="BA2" s="3" t="s">
        <v>677</v>
      </c>
      <c r="BI2" s="3" t="s">
        <v>498</v>
      </c>
    </row>
    <row r="3" spans="1:75" x14ac:dyDescent="0.4">
      <c r="A3" s="3" t="s">
        <v>2</v>
      </c>
      <c r="B3" s="3">
        <f>D3*0.1</f>
        <v>40.707565000000002</v>
      </c>
      <c r="C3" s="3">
        <f>D3*0.5</f>
        <v>203.537825</v>
      </c>
      <c r="D3" s="3">
        <f>D4</f>
        <v>407.07565</v>
      </c>
      <c r="E3" s="3">
        <f>D3*2.5</f>
        <v>1017.689125</v>
      </c>
      <c r="F3" s="3">
        <f>D3*5</f>
        <v>2035.37825</v>
      </c>
      <c r="G3" s="3">
        <f>D3*7.5</f>
        <v>3053.0673750000001</v>
      </c>
      <c r="H3" s="3">
        <f>D3*10</f>
        <v>4070.7565</v>
      </c>
      <c r="I3" s="3">
        <f>D3*20</f>
        <v>8141.5129999999999</v>
      </c>
      <c r="K3" s="3" t="s">
        <v>2</v>
      </c>
      <c r="L3" s="3">
        <f>N3*0.1</f>
        <v>19.520585000000001</v>
      </c>
      <c r="M3" s="3">
        <f>N3*0.5</f>
        <v>97.602924999999999</v>
      </c>
      <c r="N3" s="3">
        <f>N4</f>
        <v>195.20585</v>
      </c>
      <c r="O3" s="3">
        <f>N3*2.5</f>
        <v>488.01462500000002</v>
      </c>
      <c r="P3" s="3">
        <f>N3*5</f>
        <v>976.02925000000005</v>
      </c>
      <c r="Q3" s="3">
        <f>N3*7.5</f>
        <v>1464.0438750000001</v>
      </c>
      <c r="R3" s="3">
        <f>N3*10</f>
        <v>1952.0585000000001</v>
      </c>
      <c r="S3" s="3">
        <f>N3*20</f>
        <v>3904.1170000000002</v>
      </c>
      <c r="U3" s="3" t="s">
        <v>2</v>
      </c>
      <c r="V3" s="3">
        <f>X3*0.1</f>
        <v>20.913484500000006</v>
      </c>
      <c r="W3" s="3">
        <f>X3*0.5</f>
        <v>104.56742250000002</v>
      </c>
      <c r="X3" s="3">
        <f>X4</f>
        <v>209.13484500000004</v>
      </c>
      <c r="Y3" s="3">
        <f>X3*2.5</f>
        <v>522.8371125000001</v>
      </c>
      <c r="Z3" s="3">
        <f>X3*5</f>
        <v>1045.6742250000002</v>
      </c>
      <c r="AA3" s="3">
        <f>X3*7.5</f>
        <v>1568.5113375000003</v>
      </c>
      <c r="AB3" s="3">
        <f>X3*10</f>
        <v>2091.3484500000004</v>
      </c>
      <c r="AC3" s="3">
        <f>X3*20</f>
        <v>4182.6969000000008</v>
      </c>
      <c r="AE3" s="3" t="s">
        <v>2</v>
      </c>
      <c r="AF3" s="3">
        <f>AH3*0.1</f>
        <v>19.991579999999999</v>
      </c>
      <c r="AG3" s="3">
        <f>AH3*0.5</f>
        <v>99.957899999999995</v>
      </c>
      <c r="AH3" s="3">
        <f>AH4</f>
        <v>199.91579999999999</v>
      </c>
      <c r="AI3" s="3">
        <f>AH3*2.5</f>
        <v>499.78949999999998</v>
      </c>
      <c r="AJ3" s="3">
        <f>AH3*5</f>
        <v>999.57899999999995</v>
      </c>
      <c r="AK3" s="3">
        <f>AH3*7.5</f>
        <v>1499.3685</v>
      </c>
      <c r="AL3" s="3">
        <f>AH3*10</f>
        <v>1999.1579999999999</v>
      </c>
      <c r="AM3" s="3">
        <f>AH3*20</f>
        <v>3998.3159999999998</v>
      </c>
      <c r="AZ3" s="3" t="s">
        <v>2</v>
      </c>
      <c r="BA3" s="3" t="s">
        <v>676</v>
      </c>
      <c r="BB3" s="3">
        <v>10</v>
      </c>
      <c r="BC3" s="3">
        <v>100</v>
      </c>
      <c r="BD3" s="3">
        <v>1000</v>
      </c>
      <c r="BE3" s="3">
        <v>10000</v>
      </c>
      <c r="BF3" s="3">
        <v>100000</v>
      </c>
      <c r="BG3" s="3">
        <v>1000000</v>
      </c>
      <c r="BH3" s="3" t="s">
        <v>2</v>
      </c>
      <c r="BI3" s="3" t="s">
        <v>676</v>
      </c>
      <c r="BJ3" s="3">
        <v>10</v>
      </c>
      <c r="BK3" s="3">
        <v>100</v>
      </c>
      <c r="BL3" s="3">
        <v>1000</v>
      </c>
      <c r="BM3" s="3">
        <v>10000</v>
      </c>
      <c r="BN3" s="3">
        <v>100000</v>
      </c>
      <c r="BO3" s="3">
        <v>1000000</v>
      </c>
    </row>
    <row r="4" spans="1:75" x14ac:dyDescent="0.4">
      <c r="A4" s="3" t="s">
        <v>3</v>
      </c>
      <c r="B4" s="3">
        <f>AVERAGE(B5:B24)</f>
        <v>40.281020000000005</v>
      </c>
      <c r="C4" s="3">
        <f>AVERAGE(C5:C24)</f>
        <v>210.99560000000002</v>
      </c>
      <c r="D4" s="3">
        <f>AVERAGE(D5:D24)</f>
        <v>407.07565</v>
      </c>
      <c r="E4" s="3">
        <f t="shared" ref="E4:I4" si="0">AVERAGE(E5:E24)</f>
        <v>1021.4837</v>
      </c>
      <c r="F4" s="3">
        <f t="shared" si="0"/>
        <v>2008.1740000000002</v>
      </c>
      <c r="G4" s="3">
        <f t="shared" si="0"/>
        <v>2976.8685</v>
      </c>
      <c r="H4" s="3">
        <f t="shared" si="0"/>
        <v>3964.5245000000004</v>
      </c>
      <c r="I4" s="3">
        <f t="shared" si="0"/>
        <v>7896.7699999999986</v>
      </c>
      <c r="K4" s="3" t="s">
        <v>3</v>
      </c>
      <c r="L4" s="3">
        <f>AVERAGE(L5:L24)</f>
        <v>19.510825000000001</v>
      </c>
      <c r="M4" s="3">
        <f t="shared" ref="M4" si="1">AVERAGE(M5:M24)</f>
        <v>98.493195</v>
      </c>
      <c r="N4" s="3">
        <f t="shared" ref="N4" si="2">AVERAGE(N5:N24)</f>
        <v>195.20585</v>
      </c>
      <c r="O4" s="3">
        <f t="shared" ref="O4" si="3">AVERAGE(O5:O24)</f>
        <v>483.58515000000006</v>
      </c>
      <c r="P4" s="3">
        <f t="shared" ref="P4" si="4">AVERAGE(P5:P24)</f>
        <v>971.64080000000013</v>
      </c>
      <c r="Q4" s="3">
        <f t="shared" ref="Q4" si="5">AVERAGE(Q5:Q24)</f>
        <v>1426.6365000000001</v>
      </c>
      <c r="R4" s="3">
        <f t="shared" ref="R4:S4" si="6">AVERAGE(R5:R24)</f>
        <v>1898.4885000000002</v>
      </c>
      <c r="S4" s="3">
        <f t="shared" si="6"/>
        <v>3801.7935000000007</v>
      </c>
      <c r="U4" s="3" t="s">
        <v>3</v>
      </c>
      <c r="V4" s="3">
        <f>AVERAGE(V5:V24)</f>
        <v>18.503424000000003</v>
      </c>
      <c r="W4" s="3">
        <f t="shared" ref="W4" si="7">AVERAGE(W5:W24)</f>
        <v>104.44014999999999</v>
      </c>
      <c r="X4" s="3">
        <f t="shared" ref="X4" si="8">AVERAGE(X5:X24)</f>
        <v>209.13484500000004</v>
      </c>
      <c r="Y4" s="3">
        <f t="shared" ref="Y4" si="9">AVERAGE(Y5:Y24)</f>
        <v>569.01384499999995</v>
      </c>
      <c r="Z4" s="3">
        <f t="shared" ref="Z4" si="10">AVERAGE(Z5:Z24)</f>
        <v>856.60554999999999</v>
      </c>
      <c r="AA4" s="3">
        <f t="shared" ref="AA4" si="11">AVERAGE(AA5:AA24)</f>
        <v>1691.9511500000001</v>
      </c>
      <c r="AB4" s="3">
        <f t="shared" ref="AB4:AC4" si="12">AVERAGE(AB5:AB24)</f>
        <v>2416.6136000000001</v>
      </c>
      <c r="AC4" s="3">
        <f t="shared" si="12"/>
        <v>4526.8979999999992</v>
      </c>
      <c r="AE4" s="3" t="s">
        <v>3</v>
      </c>
      <c r="AF4" s="3">
        <f>AVERAGE(AF5:AF24)</f>
        <v>20.224619999999998</v>
      </c>
      <c r="AG4" s="3">
        <f t="shared" ref="AG4:AM4" si="13">AVERAGE(AG5:AG24)</f>
        <v>100.14386</v>
      </c>
      <c r="AH4" s="3">
        <f t="shared" si="13"/>
        <v>199.91579999999999</v>
      </c>
      <c r="AI4" s="3">
        <f t="shared" si="13"/>
        <v>498.83584999999982</v>
      </c>
      <c r="AJ4" s="3">
        <f t="shared" si="13"/>
        <v>999.98554999999999</v>
      </c>
      <c r="AK4" s="3">
        <f t="shared" si="13"/>
        <v>1530.3215</v>
      </c>
      <c r="AL4" s="3">
        <f t="shared" si="13"/>
        <v>1999.9290000000001</v>
      </c>
      <c r="AM4" s="3">
        <f t="shared" si="13"/>
        <v>3976.0929999999998</v>
      </c>
      <c r="BA4" s="3" t="s">
        <v>3</v>
      </c>
      <c r="BB4" s="3">
        <f>AVERAGE(BB5:BB24)</f>
        <v>198.93574999999998</v>
      </c>
      <c r="BC4" s="3">
        <f t="shared" ref="BC4:BE4" si="14">AVERAGE(BC5:BC24)</f>
        <v>200.57494999999997</v>
      </c>
      <c r="BD4" s="3">
        <f t="shared" si="14"/>
        <v>201.00770000000003</v>
      </c>
      <c r="BE4" s="3">
        <f t="shared" si="14"/>
        <v>252.86234999999996</v>
      </c>
      <c r="BF4" s="3">
        <f>AVERAGE(BF5:BF24)</f>
        <v>636.53695000000005</v>
      </c>
      <c r="BG4" s="3">
        <f t="shared" ref="BG4" si="15">AVERAGE(BG5:BG24)</f>
        <v>3967.1840000000002</v>
      </c>
      <c r="BI4" s="3" t="s">
        <v>3</v>
      </c>
      <c r="BJ4" s="3">
        <f>AVERAGE(BJ5:BJ24)</f>
        <v>283.17659999999995</v>
      </c>
      <c r="BK4" s="3">
        <f t="shared" ref="BK4:BM4" si="16">AVERAGE(BK5:BK24)</f>
        <v>270.65960000000007</v>
      </c>
      <c r="BL4" s="3">
        <f t="shared" si="16"/>
        <v>239.73379500000001</v>
      </c>
      <c r="BM4" s="3">
        <f t="shared" si="16"/>
        <v>252.44519999999997</v>
      </c>
      <c r="BN4" s="3">
        <f t="shared" ref="BN4" si="17">AVERAGE(BN5:BN24)</f>
        <v>239.59199500000005</v>
      </c>
      <c r="BO4" s="3">
        <f t="shared" ref="BO4" si="18">AVERAGE(BO5:BO24)</f>
        <v>696.15654999999992</v>
      </c>
    </row>
    <row r="5" spans="1:75" x14ac:dyDescent="0.4">
      <c r="A5" s="1">
        <v>1</v>
      </c>
      <c r="B5" s="2">
        <v>40.158999999999999</v>
      </c>
      <c r="C5" s="2">
        <v>222.35499999999999</v>
      </c>
      <c r="D5" s="2">
        <v>421.01900000000001</v>
      </c>
      <c r="E5" s="2">
        <v>1016.24</v>
      </c>
      <c r="F5" s="2">
        <v>2130.8000000000002</v>
      </c>
      <c r="G5" s="2">
        <v>2969.01</v>
      </c>
      <c r="H5" s="2">
        <v>3963.1</v>
      </c>
      <c r="I5" s="2">
        <v>7843.99</v>
      </c>
      <c r="K5" s="1">
        <v>1</v>
      </c>
      <c r="L5" s="2">
        <v>18.9922</v>
      </c>
      <c r="M5" s="2">
        <v>95.588899999999995</v>
      </c>
      <c r="N5" s="2">
        <v>195.20400000000001</v>
      </c>
      <c r="O5" s="2">
        <v>488.78800000000001</v>
      </c>
      <c r="P5" s="2">
        <v>971.40599999999995</v>
      </c>
      <c r="Q5" s="2">
        <v>1476.33</v>
      </c>
      <c r="R5" s="2">
        <v>1878.27</v>
      </c>
      <c r="S5" s="2">
        <v>3821.98</v>
      </c>
      <c r="U5" s="1">
        <v>1</v>
      </c>
      <c r="V5" s="2">
        <v>34.734000000000002</v>
      </c>
      <c r="W5" s="2">
        <v>98.164100000000005</v>
      </c>
      <c r="X5" s="2">
        <v>280.24299999999999</v>
      </c>
      <c r="Y5" s="2">
        <v>590.20399999999995</v>
      </c>
      <c r="Z5" s="2">
        <v>1208.8699999999999</v>
      </c>
      <c r="AA5" s="2">
        <v>3074.11</v>
      </c>
      <c r="AB5" s="2">
        <v>1021.38</v>
      </c>
      <c r="AC5" s="2">
        <v>7478.49</v>
      </c>
      <c r="AE5" s="1">
        <v>1</v>
      </c>
      <c r="AF5" s="3">
        <v>20.509</v>
      </c>
      <c r="AG5" s="3">
        <v>126.39700000000001</v>
      </c>
      <c r="AH5" s="3">
        <v>205.721</v>
      </c>
      <c r="AI5" s="3">
        <v>489.07600000000002</v>
      </c>
      <c r="AJ5" s="3">
        <v>992.43</v>
      </c>
      <c r="AK5" s="3">
        <v>1496.34</v>
      </c>
      <c r="AL5" s="3">
        <v>1982.33</v>
      </c>
      <c r="AM5" s="3">
        <v>3962.84</v>
      </c>
      <c r="BA5" s="1">
        <v>1</v>
      </c>
      <c r="BB5" s="2">
        <v>200.61199999999999</v>
      </c>
      <c r="BC5" s="2">
        <v>198.42</v>
      </c>
      <c r="BD5" s="2">
        <v>200.04</v>
      </c>
      <c r="BE5" s="2">
        <v>251.62799999999999</v>
      </c>
      <c r="BF5" s="3">
        <v>621.601</v>
      </c>
      <c r="BG5" s="3">
        <v>3879.16</v>
      </c>
      <c r="BI5" s="1">
        <v>1</v>
      </c>
      <c r="BJ5" s="2">
        <v>351.47699999999998</v>
      </c>
      <c r="BK5" s="2">
        <v>429.399</v>
      </c>
      <c r="BL5" s="2">
        <v>401.88499999999999</v>
      </c>
      <c r="BM5" s="2">
        <v>129.351</v>
      </c>
      <c r="BN5" s="3">
        <v>444.34899999999999</v>
      </c>
      <c r="BO5" s="3">
        <v>812.58799999999997</v>
      </c>
    </row>
    <row r="6" spans="1:75" x14ac:dyDescent="0.4">
      <c r="A6" s="1">
        <v>2</v>
      </c>
      <c r="B6" s="2">
        <v>39.475000000000001</v>
      </c>
      <c r="C6" s="2">
        <v>213.054</v>
      </c>
      <c r="D6" s="2">
        <v>392.01400000000001</v>
      </c>
      <c r="E6" s="2">
        <v>1007.26</v>
      </c>
      <c r="F6" s="2">
        <v>2010.02</v>
      </c>
      <c r="G6" s="2">
        <v>2943.68</v>
      </c>
      <c r="H6" s="2">
        <v>4011.09</v>
      </c>
      <c r="I6" s="2">
        <v>7890.36</v>
      </c>
      <c r="K6" s="1">
        <v>2</v>
      </c>
      <c r="L6" s="2">
        <v>18.93</v>
      </c>
      <c r="M6" s="2">
        <v>95.809899999999999</v>
      </c>
      <c r="N6" s="2">
        <v>230.27500000000001</v>
      </c>
      <c r="O6" s="2">
        <v>495.99400000000003</v>
      </c>
      <c r="P6" s="2">
        <v>961.779</v>
      </c>
      <c r="Q6" s="2">
        <v>1434.87</v>
      </c>
      <c r="R6" s="2">
        <v>1926.87</v>
      </c>
      <c r="S6" s="2">
        <v>3740.55</v>
      </c>
      <c r="U6" s="1">
        <v>2</v>
      </c>
      <c r="V6" s="2">
        <v>18.106000000000002</v>
      </c>
      <c r="W6" s="2">
        <v>34.321100000000001</v>
      </c>
      <c r="X6" s="2">
        <v>464.18799999999999</v>
      </c>
      <c r="Y6" s="2">
        <v>592.77099999999996</v>
      </c>
      <c r="Z6" s="2">
        <v>486.34300000000002</v>
      </c>
      <c r="AA6" s="2">
        <v>505.233</v>
      </c>
      <c r="AB6" s="2">
        <v>2256.61</v>
      </c>
      <c r="AC6" s="2">
        <v>4742.92</v>
      </c>
      <c r="AE6" s="1">
        <v>2</v>
      </c>
      <c r="AF6" s="3">
        <v>20.0791</v>
      </c>
      <c r="AG6" s="3">
        <v>97.133899999999997</v>
      </c>
      <c r="AH6" s="3">
        <v>195.24700000000001</v>
      </c>
      <c r="AI6" s="3">
        <v>489.47899999999998</v>
      </c>
      <c r="AJ6" s="3">
        <v>978.971</v>
      </c>
      <c r="AK6" s="3">
        <v>1540.44</v>
      </c>
      <c r="AL6" s="3">
        <v>1987.46</v>
      </c>
      <c r="AM6" s="3">
        <v>4019.34</v>
      </c>
      <c r="BA6" s="1">
        <v>2</v>
      </c>
      <c r="BB6" s="2">
        <v>199.27799999999999</v>
      </c>
      <c r="BC6" s="2">
        <v>200.46700000000001</v>
      </c>
      <c r="BD6" s="2">
        <v>206.43600000000001</v>
      </c>
      <c r="BE6" s="2">
        <v>246.666</v>
      </c>
      <c r="BF6" s="3">
        <v>611.38099999999997</v>
      </c>
      <c r="BG6" s="3">
        <v>3892.18</v>
      </c>
      <c r="BI6" s="1">
        <v>2</v>
      </c>
      <c r="BJ6" s="2">
        <v>117.447</v>
      </c>
      <c r="BK6" s="2">
        <v>82.37</v>
      </c>
      <c r="BL6" s="2">
        <v>174.63900000000001</v>
      </c>
      <c r="BM6" s="2">
        <v>218.52500000000001</v>
      </c>
      <c r="BN6" s="3">
        <v>126.26600000000001</v>
      </c>
      <c r="BO6" s="3">
        <v>701.63699999999994</v>
      </c>
    </row>
    <row r="7" spans="1:75" x14ac:dyDescent="0.4">
      <c r="A7" s="1">
        <v>3</v>
      </c>
      <c r="B7" s="2">
        <v>39.812100000000001</v>
      </c>
      <c r="C7" s="2">
        <v>205.798</v>
      </c>
      <c r="D7" s="2">
        <v>414.11599999999999</v>
      </c>
      <c r="E7" s="2">
        <v>1015.11</v>
      </c>
      <c r="F7" s="2">
        <v>2030.39</v>
      </c>
      <c r="G7" s="2">
        <v>3014.97</v>
      </c>
      <c r="H7" s="2">
        <v>4000.68</v>
      </c>
      <c r="I7" s="2">
        <v>7858.76</v>
      </c>
      <c r="K7" s="1">
        <v>3</v>
      </c>
      <c r="L7" s="2">
        <v>19.850000000000001</v>
      </c>
      <c r="M7" s="2">
        <v>96.321799999999996</v>
      </c>
      <c r="N7" s="2">
        <v>190.684</v>
      </c>
      <c r="O7" s="2">
        <v>480.91300000000001</v>
      </c>
      <c r="P7" s="2">
        <v>969.83399999999995</v>
      </c>
      <c r="Q7" s="2">
        <v>1426.42</v>
      </c>
      <c r="R7" s="2">
        <v>1868.59</v>
      </c>
      <c r="S7" s="2">
        <v>3778.61</v>
      </c>
      <c r="U7" s="1">
        <v>3</v>
      </c>
      <c r="V7" s="2">
        <v>34.667000000000002</v>
      </c>
      <c r="W7" s="2">
        <v>83.545000000000002</v>
      </c>
      <c r="X7" s="2">
        <v>320.41199999999998</v>
      </c>
      <c r="Y7" s="2">
        <v>903.23900000000003</v>
      </c>
      <c r="Z7" s="2">
        <v>196.12799999999999</v>
      </c>
      <c r="AA7" s="2">
        <v>1710.02</v>
      </c>
      <c r="AB7" s="2">
        <v>1961.07</v>
      </c>
      <c r="AC7" s="2">
        <v>1067.48</v>
      </c>
      <c r="AE7" s="1">
        <v>3</v>
      </c>
      <c r="AF7" s="3">
        <v>20.027899999999999</v>
      </c>
      <c r="AG7" s="3">
        <v>97.094999999999999</v>
      </c>
      <c r="AH7" s="3">
        <v>202.85</v>
      </c>
      <c r="AI7" s="3">
        <v>496.75700000000001</v>
      </c>
      <c r="AJ7" s="3">
        <v>1031.55</v>
      </c>
      <c r="AK7" s="3">
        <v>1534.57</v>
      </c>
      <c r="AL7" s="3">
        <v>2004.69</v>
      </c>
      <c r="AM7" s="3">
        <v>4021.84</v>
      </c>
      <c r="BA7" s="1">
        <v>3</v>
      </c>
      <c r="BB7" s="2">
        <v>224.745</v>
      </c>
      <c r="BC7" s="2">
        <v>206.547</v>
      </c>
      <c r="BD7" s="2">
        <v>199.11</v>
      </c>
      <c r="BE7" s="2">
        <v>253.45599999999999</v>
      </c>
      <c r="BF7" s="3">
        <v>620.69600000000003</v>
      </c>
      <c r="BG7" s="3">
        <v>3956.37</v>
      </c>
      <c r="BI7" s="1">
        <v>3</v>
      </c>
      <c r="BJ7" s="2">
        <v>239.89</v>
      </c>
      <c r="BK7" s="2">
        <v>298.41899999999998</v>
      </c>
      <c r="BL7" s="2">
        <v>301.17700000000002</v>
      </c>
      <c r="BM7" s="2">
        <v>52.881</v>
      </c>
      <c r="BN7" s="3">
        <v>128.25700000000001</v>
      </c>
      <c r="BO7" s="3">
        <v>546.69399999999996</v>
      </c>
    </row>
    <row r="8" spans="1:75" x14ac:dyDescent="0.4">
      <c r="A8" s="1">
        <v>4</v>
      </c>
      <c r="B8" s="2">
        <v>45.052999999999997</v>
      </c>
      <c r="C8" s="2">
        <v>223.262</v>
      </c>
      <c r="D8" s="2">
        <v>391.08499999999998</v>
      </c>
      <c r="E8" s="2">
        <v>989.09</v>
      </c>
      <c r="F8" s="2">
        <v>1969.42</v>
      </c>
      <c r="G8" s="2">
        <v>2951.52</v>
      </c>
      <c r="H8" s="2">
        <v>3977.26</v>
      </c>
      <c r="I8" s="2">
        <v>7770.76</v>
      </c>
      <c r="K8" s="1">
        <v>4</v>
      </c>
      <c r="L8" s="2">
        <v>20.214099999999998</v>
      </c>
      <c r="M8" s="2">
        <v>96.965999999999994</v>
      </c>
      <c r="N8" s="2">
        <v>193.52500000000001</v>
      </c>
      <c r="O8" s="2">
        <v>473.48599999999999</v>
      </c>
      <c r="P8" s="2">
        <v>1136.6600000000001</v>
      </c>
      <c r="Q8" s="2">
        <v>1447.63</v>
      </c>
      <c r="R8" s="2">
        <v>1880.87</v>
      </c>
      <c r="S8" s="2">
        <v>3825.45</v>
      </c>
      <c r="U8" s="1">
        <v>4</v>
      </c>
      <c r="V8" s="2">
        <v>11.494899999999999</v>
      </c>
      <c r="W8" s="2">
        <v>118.956</v>
      </c>
      <c r="X8" s="2">
        <v>72.656199999999998</v>
      </c>
      <c r="Y8" s="2">
        <v>739.16</v>
      </c>
      <c r="Z8" s="2">
        <v>1053.0899999999999</v>
      </c>
      <c r="AA8" s="2">
        <v>1580.52</v>
      </c>
      <c r="AB8" s="2">
        <v>450.39600000000002</v>
      </c>
      <c r="AC8" s="2">
        <v>2409.62</v>
      </c>
      <c r="AE8" s="1">
        <v>4</v>
      </c>
      <c r="AF8" s="3">
        <v>20.541</v>
      </c>
      <c r="AG8" s="3">
        <v>98.655900000000003</v>
      </c>
      <c r="AH8" s="3">
        <v>194.75399999999999</v>
      </c>
      <c r="AI8" s="3">
        <v>486.202</v>
      </c>
      <c r="AJ8" s="3">
        <v>994.66399999999999</v>
      </c>
      <c r="AK8" s="3">
        <v>1493.41</v>
      </c>
      <c r="AL8" s="3">
        <v>2025.86</v>
      </c>
      <c r="AM8" s="3">
        <v>3957.44</v>
      </c>
      <c r="BA8" s="1">
        <v>4</v>
      </c>
      <c r="BB8" s="2">
        <v>199.26599999999999</v>
      </c>
      <c r="BC8" s="2">
        <v>196.678</v>
      </c>
      <c r="BD8" s="2">
        <v>194.36099999999999</v>
      </c>
      <c r="BE8" s="2">
        <v>251.56399999999999</v>
      </c>
      <c r="BF8" s="3">
        <v>641.11400000000003</v>
      </c>
      <c r="BG8" s="3">
        <v>3886.02</v>
      </c>
      <c r="BI8" s="1">
        <v>4</v>
      </c>
      <c r="BJ8" s="2">
        <v>462.45699999999999</v>
      </c>
      <c r="BK8" s="2">
        <v>154.887</v>
      </c>
      <c r="BL8" s="2">
        <v>317.84199999999998</v>
      </c>
      <c r="BM8" s="2">
        <v>325.16899999999998</v>
      </c>
      <c r="BN8" s="3">
        <v>632.47799999999995</v>
      </c>
      <c r="BO8" s="3">
        <v>855.33600000000001</v>
      </c>
    </row>
    <row r="9" spans="1:75" x14ac:dyDescent="0.4">
      <c r="A9" s="1">
        <v>5</v>
      </c>
      <c r="B9" s="2">
        <v>45.1372</v>
      </c>
      <c r="C9" s="2">
        <v>195.39699999999999</v>
      </c>
      <c r="D9" s="2">
        <v>437.55399999999997</v>
      </c>
      <c r="E9" s="2">
        <v>1070.26</v>
      </c>
      <c r="F9" s="2">
        <v>1948.71</v>
      </c>
      <c r="G9" s="2">
        <v>3105.22</v>
      </c>
      <c r="H9" s="2">
        <v>3955.18</v>
      </c>
      <c r="I9" s="2">
        <v>7852.97</v>
      </c>
      <c r="K9" s="1">
        <v>5</v>
      </c>
      <c r="L9" s="2">
        <v>18.995999999999999</v>
      </c>
      <c r="M9" s="2">
        <v>94.712999999999994</v>
      </c>
      <c r="N9" s="2">
        <v>189.45</v>
      </c>
      <c r="O9" s="2">
        <v>492.608</v>
      </c>
      <c r="P9" s="2">
        <v>1005.69</v>
      </c>
      <c r="Q9" s="2">
        <v>1430.05</v>
      </c>
      <c r="R9" s="2">
        <v>1876.48</v>
      </c>
      <c r="S9" s="2">
        <v>3738.13</v>
      </c>
      <c r="U9" s="1">
        <v>5</v>
      </c>
      <c r="V9" s="2">
        <v>29.0608</v>
      </c>
      <c r="W9" s="2">
        <v>84.558000000000007</v>
      </c>
      <c r="X9" s="2">
        <v>229.291</v>
      </c>
      <c r="Y9" s="2">
        <v>763.67899999999997</v>
      </c>
      <c r="Z9" s="2">
        <v>729.95500000000004</v>
      </c>
      <c r="AA9" s="2">
        <v>817.39599999999996</v>
      </c>
      <c r="AB9" s="2">
        <v>4793.57</v>
      </c>
      <c r="AC9" s="2">
        <v>4677.57</v>
      </c>
      <c r="AE9" s="1">
        <v>5</v>
      </c>
      <c r="AF9" s="3">
        <v>19.847899999999999</v>
      </c>
      <c r="AG9" s="3">
        <v>96.858000000000004</v>
      </c>
      <c r="AH9" s="3">
        <v>202.852</v>
      </c>
      <c r="AI9" s="3">
        <v>509.91899999999998</v>
      </c>
      <c r="AJ9" s="3">
        <v>1006.91</v>
      </c>
      <c r="AK9" s="3">
        <v>1503.12</v>
      </c>
      <c r="AL9" s="3">
        <v>2040.1</v>
      </c>
      <c r="AM9" s="3">
        <v>4031.47</v>
      </c>
      <c r="BA9" s="1">
        <v>5</v>
      </c>
      <c r="BB9" s="2">
        <v>194.518</v>
      </c>
      <c r="BC9" s="2">
        <v>199.01300000000001</v>
      </c>
      <c r="BD9" s="2">
        <v>196.52600000000001</v>
      </c>
      <c r="BE9" s="2">
        <v>249.48</v>
      </c>
      <c r="BF9" s="3">
        <v>647.30600000000004</v>
      </c>
      <c r="BG9" s="3">
        <v>3918.15</v>
      </c>
      <c r="BI9" s="1">
        <v>5</v>
      </c>
      <c r="BJ9" s="2">
        <v>285.28899999999999</v>
      </c>
      <c r="BK9" s="2">
        <v>169.96600000000001</v>
      </c>
      <c r="BL9" s="2">
        <v>250.18100000000001</v>
      </c>
      <c r="BM9" s="2">
        <v>234.62899999999999</v>
      </c>
      <c r="BN9" s="3">
        <v>90.466999999999999</v>
      </c>
      <c r="BO9" s="3">
        <v>700.81700000000001</v>
      </c>
    </row>
    <row r="10" spans="1:75" x14ac:dyDescent="0.4">
      <c r="A10" s="1">
        <v>6</v>
      </c>
      <c r="B10" s="2">
        <v>38.889899999999997</v>
      </c>
      <c r="C10" s="2">
        <v>225.351</v>
      </c>
      <c r="D10" s="2">
        <v>400.84399999999999</v>
      </c>
      <c r="E10" s="2">
        <v>1105.8800000000001</v>
      </c>
      <c r="F10" s="2">
        <v>2018.06</v>
      </c>
      <c r="G10" s="2">
        <v>2992.35</v>
      </c>
      <c r="H10" s="2">
        <v>3946.24</v>
      </c>
      <c r="I10" s="2">
        <v>7934.24</v>
      </c>
      <c r="K10" s="1">
        <v>6</v>
      </c>
      <c r="L10" s="2">
        <v>18.843900000000001</v>
      </c>
      <c r="M10" s="2">
        <v>112.732</v>
      </c>
      <c r="N10" s="2">
        <v>195.17699999999999</v>
      </c>
      <c r="O10" s="2">
        <v>488.27800000000002</v>
      </c>
      <c r="P10" s="2">
        <v>971.66499999999996</v>
      </c>
      <c r="Q10" s="2">
        <v>1408.5</v>
      </c>
      <c r="R10" s="2">
        <v>1921.71</v>
      </c>
      <c r="S10" s="2">
        <v>3854.41</v>
      </c>
      <c r="U10" s="1">
        <v>6</v>
      </c>
      <c r="V10" s="2">
        <v>21.401900000000001</v>
      </c>
      <c r="W10" s="2">
        <v>127.742</v>
      </c>
      <c r="X10" s="2">
        <v>246.15100000000001</v>
      </c>
      <c r="Y10" s="2">
        <v>165.995</v>
      </c>
      <c r="Z10" s="2">
        <v>399.07400000000001</v>
      </c>
      <c r="AA10" s="2">
        <v>2006.71</v>
      </c>
      <c r="AB10" s="2">
        <v>2517.96</v>
      </c>
      <c r="AC10" s="2">
        <v>6933.19</v>
      </c>
      <c r="AE10" s="1">
        <v>6</v>
      </c>
      <c r="AF10" s="3">
        <v>20.0579</v>
      </c>
      <c r="AG10" s="3">
        <v>99.636099999999999</v>
      </c>
      <c r="AH10" s="3">
        <v>222.65899999999999</v>
      </c>
      <c r="AI10" s="3">
        <v>504.233</v>
      </c>
      <c r="AJ10" s="3">
        <v>1004</v>
      </c>
      <c r="AK10" s="3">
        <v>1537.67</v>
      </c>
      <c r="AL10" s="3">
        <v>2003.56</v>
      </c>
      <c r="AM10" s="3">
        <v>3945.8</v>
      </c>
      <c r="BA10" s="1">
        <v>6</v>
      </c>
      <c r="BB10" s="2">
        <v>198.017</v>
      </c>
      <c r="BC10" s="2">
        <v>199.43100000000001</v>
      </c>
      <c r="BD10" s="2">
        <v>195.87100000000001</v>
      </c>
      <c r="BE10" s="2">
        <v>269.89800000000002</v>
      </c>
      <c r="BF10" s="3">
        <v>681.29399999999998</v>
      </c>
      <c r="BG10" s="3">
        <v>3939.5</v>
      </c>
      <c r="BI10" s="1">
        <v>6</v>
      </c>
      <c r="BJ10" s="2">
        <v>111.333</v>
      </c>
      <c r="BK10" s="2">
        <v>77.480999999999995</v>
      </c>
      <c r="BL10" s="2">
        <v>191.863</v>
      </c>
      <c r="BM10" s="2">
        <v>104.039</v>
      </c>
      <c r="BN10" s="3">
        <v>205.821</v>
      </c>
      <c r="BO10" s="3">
        <v>495.983</v>
      </c>
    </row>
    <row r="11" spans="1:75" x14ac:dyDescent="0.4">
      <c r="A11" s="1">
        <v>7</v>
      </c>
      <c r="B11" s="2">
        <v>38.731099999999998</v>
      </c>
      <c r="C11" s="2">
        <v>237.411</v>
      </c>
      <c r="D11" s="2">
        <v>395.68400000000003</v>
      </c>
      <c r="E11" s="2">
        <v>1080.96</v>
      </c>
      <c r="F11" s="2">
        <v>2109.65</v>
      </c>
      <c r="G11" s="2">
        <v>2994.5</v>
      </c>
      <c r="H11" s="2">
        <v>3956.33</v>
      </c>
      <c r="I11" s="2">
        <v>7889.61</v>
      </c>
      <c r="K11" s="1">
        <v>7</v>
      </c>
      <c r="L11" s="2">
        <v>19.689800000000002</v>
      </c>
      <c r="M11" s="2">
        <v>94.929000000000002</v>
      </c>
      <c r="N11" s="2">
        <v>204.279</v>
      </c>
      <c r="O11" s="2">
        <v>485.39400000000001</v>
      </c>
      <c r="P11" s="2">
        <v>957.57600000000002</v>
      </c>
      <c r="Q11" s="2">
        <v>1417.43</v>
      </c>
      <c r="R11" s="2">
        <v>1884.28</v>
      </c>
      <c r="S11" s="2">
        <v>3767.87</v>
      </c>
      <c r="U11" s="1">
        <v>7</v>
      </c>
      <c r="V11" s="2">
        <v>23.091999999999999</v>
      </c>
      <c r="W11" s="2">
        <v>128.29499999999999</v>
      </c>
      <c r="X11" s="2">
        <v>35.642099999999999</v>
      </c>
      <c r="Y11" s="2">
        <v>739.99199999999996</v>
      </c>
      <c r="Z11" s="2">
        <v>412.77800000000002</v>
      </c>
      <c r="AA11" s="2">
        <v>1212.05</v>
      </c>
      <c r="AB11" s="2">
        <v>5189.82</v>
      </c>
      <c r="AC11" s="2">
        <v>1591.27</v>
      </c>
      <c r="AE11" s="1">
        <v>7</v>
      </c>
      <c r="AF11" s="3">
        <v>19.986899999999999</v>
      </c>
      <c r="AG11" s="3">
        <v>96.495199999999997</v>
      </c>
      <c r="AH11" s="3">
        <v>208.18700000000001</v>
      </c>
      <c r="AI11" s="3">
        <v>488.38799999999998</v>
      </c>
      <c r="AJ11" s="3">
        <v>990.87800000000004</v>
      </c>
      <c r="AK11" s="3">
        <v>1541.25</v>
      </c>
      <c r="AL11" s="3">
        <v>1999.17</v>
      </c>
      <c r="AM11" s="3">
        <v>3967.14</v>
      </c>
      <c r="BA11" s="1">
        <v>7</v>
      </c>
      <c r="BB11" s="2">
        <v>194.452</v>
      </c>
      <c r="BC11" s="2">
        <v>199.03800000000001</v>
      </c>
      <c r="BD11" s="2">
        <v>197.53100000000001</v>
      </c>
      <c r="BE11" s="2">
        <v>259.79599999999999</v>
      </c>
      <c r="BF11" s="3">
        <v>671.39400000000001</v>
      </c>
      <c r="BG11" s="3">
        <v>3891.78</v>
      </c>
      <c r="BI11" s="1">
        <v>7</v>
      </c>
      <c r="BJ11" s="2">
        <v>335.52300000000002</v>
      </c>
      <c r="BK11" s="2">
        <v>119.53700000000001</v>
      </c>
      <c r="BL11" s="2">
        <v>255.88499999999999</v>
      </c>
      <c r="BM11" s="2">
        <v>133.77799999999999</v>
      </c>
      <c r="BN11" s="3">
        <v>233.10900000000001</v>
      </c>
      <c r="BO11" s="3">
        <v>691.49400000000003</v>
      </c>
    </row>
    <row r="12" spans="1:75" x14ac:dyDescent="0.4">
      <c r="A12" s="1">
        <v>8</v>
      </c>
      <c r="B12" s="2">
        <v>39.190100000000001</v>
      </c>
      <c r="C12" s="2">
        <v>223.93799999999999</v>
      </c>
      <c r="D12" s="2">
        <v>400.61799999999999</v>
      </c>
      <c r="E12" s="2">
        <v>1026.31</v>
      </c>
      <c r="F12" s="2">
        <v>1975.81</v>
      </c>
      <c r="G12" s="2">
        <v>2951.26</v>
      </c>
      <c r="H12" s="2">
        <v>4036.15</v>
      </c>
      <c r="I12" s="2">
        <v>7876.42</v>
      </c>
      <c r="K12" s="1">
        <v>8</v>
      </c>
      <c r="L12" s="2">
        <v>18.939</v>
      </c>
      <c r="M12" s="2">
        <v>94.224900000000005</v>
      </c>
      <c r="N12" s="2">
        <v>187.55699999999999</v>
      </c>
      <c r="O12" s="2">
        <v>494.529</v>
      </c>
      <c r="P12" s="2">
        <v>970.697</v>
      </c>
      <c r="Q12" s="2">
        <v>1421.42</v>
      </c>
      <c r="R12" s="2">
        <v>1923.27</v>
      </c>
      <c r="S12" s="2">
        <v>3750.79</v>
      </c>
      <c r="U12" s="1">
        <v>8</v>
      </c>
      <c r="V12" s="2">
        <v>27.966000000000001</v>
      </c>
      <c r="W12" s="2">
        <v>75.519800000000004</v>
      </c>
      <c r="X12" s="2">
        <v>111.078</v>
      </c>
      <c r="Y12" s="2">
        <v>404.26900000000001</v>
      </c>
      <c r="Z12" s="2">
        <v>1218.4100000000001</v>
      </c>
      <c r="AA12" s="2">
        <v>2620.91</v>
      </c>
      <c r="AB12" s="2">
        <v>2441.12</v>
      </c>
      <c r="AC12" s="2">
        <v>4723.43</v>
      </c>
      <c r="AE12" s="1">
        <v>8</v>
      </c>
      <c r="AF12" s="3">
        <v>20.615100000000002</v>
      </c>
      <c r="AG12" s="3">
        <v>96.328000000000003</v>
      </c>
      <c r="AH12" s="3">
        <v>198.70400000000001</v>
      </c>
      <c r="AI12" s="3">
        <v>541.16700000000003</v>
      </c>
      <c r="AJ12" s="3">
        <v>983.44600000000003</v>
      </c>
      <c r="AK12" s="3">
        <v>1517.83</v>
      </c>
      <c r="AL12" s="3">
        <v>2013.94</v>
      </c>
      <c r="AM12" s="3">
        <v>3970.59</v>
      </c>
      <c r="BA12" s="1">
        <v>8</v>
      </c>
      <c r="BB12" s="2">
        <v>195.14400000000001</v>
      </c>
      <c r="BC12" s="2">
        <v>202.91300000000001</v>
      </c>
      <c r="BD12" s="2">
        <v>199.011</v>
      </c>
      <c r="BE12" s="2">
        <v>262.005</v>
      </c>
      <c r="BF12" s="3">
        <v>621.47500000000002</v>
      </c>
      <c r="BG12" s="3">
        <v>3988.84</v>
      </c>
      <c r="BI12" s="1">
        <v>8</v>
      </c>
      <c r="BJ12" s="2">
        <v>252.267</v>
      </c>
      <c r="BK12" s="2">
        <v>273.54599999999999</v>
      </c>
      <c r="BL12" s="2">
        <v>168.66</v>
      </c>
      <c r="BM12" s="2">
        <v>271.68400000000003</v>
      </c>
      <c r="BN12" s="3">
        <v>331.13900000000001</v>
      </c>
      <c r="BO12" s="3">
        <v>729.23</v>
      </c>
    </row>
    <row r="13" spans="1:75" x14ac:dyDescent="0.4">
      <c r="A13" s="1">
        <v>9</v>
      </c>
      <c r="B13" s="2">
        <v>39.134</v>
      </c>
      <c r="C13" s="2">
        <v>195.81800000000001</v>
      </c>
      <c r="D13" s="2">
        <v>431.75400000000002</v>
      </c>
      <c r="E13" s="2">
        <v>984.78200000000004</v>
      </c>
      <c r="F13" s="2">
        <v>1975.75</v>
      </c>
      <c r="G13" s="2">
        <v>2980.47</v>
      </c>
      <c r="H13" s="2">
        <v>3927.51</v>
      </c>
      <c r="I13" s="2">
        <v>7814.23</v>
      </c>
      <c r="K13" s="1">
        <v>9</v>
      </c>
      <c r="L13" s="2">
        <v>18.7669</v>
      </c>
      <c r="M13" s="2">
        <v>102.64400000000001</v>
      </c>
      <c r="N13" s="2">
        <v>197.75800000000001</v>
      </c>
      <c r="O13" s="2">
        <v>480.68700000000001</v>
      </c>
      <c r="P13" s="2">
        <v>973.19299999999998</v>
      </c>
      <c r="Q13" s="2">
        <v>1413.39</v>
      </c>
      <c r="R13" s="2">
        <v>1882.03</v>
      </c>
      <c r="S13" s="2">
        <v>3805.53</v>
      </c>
      <c r="U13" s="1">
        <v>9</v>
      </c>
      <c r="V13" s="2">
        <v>9.5589200000000005</v>
      </c>
      <c r="W13" s="2">
        <v>32.666899999999998</v>
      </c>
      <c r="X13" s="2">
        <v>52.0608</v>
      </c>
      <c r="Y13" s="2">
        <v>509.79</v>
      </c>
      <c r="Z13" s="2">
        <v>1657.32</v>
      </c>
      <c r="AA13" s="2">
        <v>248.78399999999999</v>
      </c>
      <c r="AB13" s="2">
        <v>2969.76</v>
      </c>
      <c r="AC13" s="2">
        <v>523.59</v>
      </c>
      <c r="AE13" s="1">
        <v>9</v>
      </c>
      <c r="AF13" s="3">
        <v>20.108000000000001</v>
      </c>
      <c r="AG13" s="3">
        <v>96.575999999999993</v>
      </c>
      <c r="AH13" s="3">
        <v>194.96</v>
      </c>
      <c r="AI13" s="3">
        <v>485.33199999999999</v>
      </c>
      <c r="AJ13" s="3">
        <v>1014.63</v>
      </c>
      <c r="AK13" s="3">
        <v>1587.45</v>
      </c>
      <c r="AL13" s="3">
        <v>2018.87</v>
      </c>
      <c r="AM13" s="3">
        <v>3960.94</v>
      </c>
      <c r="BA13" s="1">
        <v>9</v>
      </c>
      <c r="BB13" s="2">
        <v>198.90299999999999</v>
      </c>
      <c r="BC13" s="2">
        <v>204.67500000000001</v>
      </c>
      <c r="BD13" s="2">
        <v>199.929</v>
      </c>
      <c r="BE13" s="2">
        <v>250.649</v>
      </c>
      <c r="BF13" s="3">
        <v>645.59100000000001</v>
      </c>
      <c r="BG13" s="3">
        <v>3997.31</v>
      </c>
      <c r="BI13" s="1">
        <v>9</v>
      </c>
      <c r="BJ13" s="2">
        <v>210.53399999999999</v>
      </c>
      <c r="BK13" s="2">
        <v>465.44200000000001</v>
      </c>
      <c r="BL13" s="2">
        <v>308.96699999999998</v>
      </c>
      <c r="BM13" s="2">
        <v>145.15600000000001</v>
      </c>
      <c r="BN13" s="3">
        <v>448.34199999999998</v>
      </c>
      <c r="BO13" s="3">
        <v>747.23</v>
      </c>
    </row>
    <row r="14" spans="1:75" x14ac:dyDescent="0.4">
      <c r="A14" s="1">
        <v>10</v>
      </c>
      <c r="B14" s="2">
        <v>38.703899999999997</v>
      </c>
      <c r="C14" s="2">
        <v>193.97399999999999</v>
      </c>
      <c r="D14" s="2">
        <v>393.303</v>
      </c>
      <c r="E14" s="2">
        <v>1023.78</v>
      </c>
      <c r="F14" s="2">
        <v>1968.67</v>
      </c>
      <c r="G14" s="2">
        <v>2935.27</v>
      </c>
      <c r="H14" s="2">
        <v>3906.47</v>
      </c>
      <c r="I14" s="2">
        <v>7793.38</v>
      </c>
      <c r="K14" s="1">
        <v>10</v>
      </c>
      <c r="L14" s="2">
        <v>19.449000000000002</v>
      </c>
      <c r="M14" s="2">
        <v>95.540999999999997</v>
      </c>
      <c r="N14" s="2">
        <v>188.54599999999999</v>
      </c>
      <c r="O14" s="2">
        <v>479.26400000000001</v>
      </c>
      <c r="P14" s="2">
        <v>978.154</v>
      </c>
      <c r="Q14" s="2">
        <v>1454.19</v>
      </c>
      <c r="R14" s="2">
        <v>1924.24</v>
      </c>
      <c r="S14" s="2">
        <v>3793.06</v>
      </c>
      <c r="U14" s="1">
        <v>10</v>
      </c>
      <c r="V14" s="2">
        <v>6.9940100000000003</v>
      </c>
      <c r="W14" s="2">
        <v>89.1721</v>
      </c>
      <c r="X14" s="2">
        <v>201.72</v>
      </c>
      <c r="Y14" s="2">
        <v>1114.07</v>
      </c>
      <c r="Z14" s="2">
        <v>974.68100000000004</v>
      </c>
      <c r="AA14" s="2">
        <v>1801.74</v>
      </c>
      <c r="AB14" s="2">
        <v>1129.4100000000001</v>
      </c>
      <c r="AC14" s="2">
        <v>1735.59</v>
      </c>
      <c r="AE14" s="1">
        <v>10</v>
      </c>
      <c r="AF14" s="3">
        <v>19.954899999999999</v>
      </c>
      <c r="AG14" s="3">
        <v>100.53700000000001</v>
      </c>
      <c r="AH14" s="3">
        <v>195.858</v>
      </c>
      <c r="AI14" s="3">
        <v>491.02199999999999</v>
      </c>
      <c r="AJ14" s="3">
        <v>1062.1400000000001</v>
      </c>
      <c r="AK14" s="3">
        <v>1491.24</v>
      </c>
      <c r="AL14" s="3">
        <v>1979.24</v>
      </c>
      <c r="AM14" s="3">
        <v>3973.89</v>
      </c>
      <c r="BA14" s="1">
        <v>10</v>
      </c>
      <c r="BB14" s="2">
        <v>193.92500000000001</v>
      </c>
      <c r="BC14" s="2">
        <v>200.30600000000001</v>
      </c>
      <c r="BD14" s="2">
        <v>194.15600000000001</v>
      </c>
      <c r="BE14" s="2">
        <v>253.18700000000001</v>
      </c>
      <c r="BF14" s="3">
        <v>667.93299999999999</v>
      </c>
      <c r="BG14" s="3">
        <v>3926.58</v>
      </c>
      <c r="BI14" s="1">
        <v>10</v>
      </c>
      <c r="BJ14" s="2">
        <v>220.68299999999999</v>
      </c>
      <c r="BK14" s="2">
        <v>386.44099999999997</v>
      </c>
      <c r="BL14" s="2">
        <v>234.43299999999999</v>
      </c>
      <c r="BM14" s="2">
        <v>285.72399999999999</v>
      </c>
      <c r="BN14" s="3">
        <v>149.684</v>
      </c>
      <c r="BO14" s="3">
        <v>809.01</v>
      </c>
    </row>
    <row r="15" spans="1:75" x14ac:dyDescent="0.4">
      <c r="A15" s="1">
        <v>11</v>
      </c>
      <c r="B15" s="2">
        <v>38.692</v>
      </c>
      <c r="C15" s="2">
        <v>227.584</v>
      </c>
      <c r="D15" s="2">
        <v>398.22</v>
      </c>
      <c r="E15" s="2">
        <v>988.98800000000006</v>
      </c>
      <c r="F15" s="2">
        <v>2037.35</v>
      </c>
      <c r="G15" s="2">
        <v>2951.25</v>
      </c>
      <c r="H15" s="2">
        <v>3971.54</v>
      </c>
      <c r="I15" s="2">
        <v>7826.82</v>
      </c>
      <c r="K15" s="1">
        <v>11</v>
      </c>
      <c r="L15" s="2">
        <v>18.859100000000002</v>
      </c>
      <c r="M15" s="2">
        <v>95.1631</v>
      </c>
      <c r="N15" s="2">
        <v>190.12700000000001</v>
      </c>
      <c r="O15" s="2">
        <v>481.02800000000002</v>
      </c>
      <c r="P15" s="2">
        <v>946.32100000000003</v>
      </c>
      <c r="Q15" s="2">
        <v>1408.75</v>
      </c>
      <c r="R15" s="2">
        <v>1870.97</v>
      </c>
      <c r="S15" s="2">
        <v>3800.3</v>
      </c>
      <c r="U15" s="1">
        <v>11</v>
      </c>
      <c r="V15" s="2">
        <v>5.9819199999999997</v>
      </c>
      <c r="W15" s="2">
        <v>207.25800000000001</v>
      </c>
      <c r="X15" s="2">
        <v>165.02799999999999</v>
      </c>
      <c r="Y15" s="2">
        <v>701.65700000000004</v>
      </c>
      <c r="Z15" s="2">
        <v>920.29700000000003</v>
      </c>
      <c r="AA15" s="2">
        <v>801.14300000000003</v>
      </c>
      <c r="AB15" s="2">
        <v>2764.44</v>
      </c>
      <c r="AC15" s="2">
        <v>5088.13</v>
      </c>
      <c r="AE15" s="1">
        <v>11</v>
      </c>
      <c r="AF15" s="3">
        <v>19.8309</v>
      </c>
      <c r="AG15" s="3">
        <v>98.485900000000001</v>
      </c>
      <c r="AH15" s="3">
        <v>196.61699999999999</v>
      </c>
      <c r="AI15" s="3">
        <v>486.61700000000002</v>
      </c>
      <c r="AJ15" s="3">
        <v>988.01800000000003</v>
      </c>
      <c r="AK15" s="3">
        <v>1525.14</v>
      </c>
      <c r="AL15" s="3">
        <v>1971.32</v>
      </c>
      <c r="AM15" s="3">
        <v>3975.55</v>
      </c>
      <c r="BA15" s="1">
        <v>11</v>
      </c>
      <c r="BB15" s="2">
        <v>194.78200000000001</v>
      </c>
      <c r="BC15" s="2">
        <v>201.054</v>
      </c>
      <c r="BD15" s="2">
        <v>218.79499999999999</v>
      </c>
      <c r="BE15" s="2">
        <v>261.21800000000002</v>
      </c>
      <c r="BF15" s="3">
        <v>621.71799999999996</v>
      </c>
      <c r="BG15" s="3">
        <v>3870.94</v>
      </c>
      <c r="BI15" s="1">
        <v>11</v>
      </c>
      <c r="BJ15" s="2">
        <v>306.17200000000003</v>
      </c>
      <c r="BK15" s="2">
        <v>62.161900000000003</v>
      </c>
      <c r="BL15" s="2">
        <v>276.56</v>
      </c>
      <c r="BM15" s="2">
        <v>446.09199999999998</v>
      </c>
      <c r="BN15" s="3">
        <v>221.24100000000001</v>
      </c>
      <c r="BO15" s="3">
        <v>724.41200000000003</v>
      </c>
    </row>
    <row r="16" spans="1:75" x14ac:dyDescent="0.4">
      <c r="A16" s="1">
        <v>12</v>
      </c>
      <c r="B16" s="2">
        <v>41.622900000000001</v>
      </c>
      <c r="C16" s="2">
        <v>194.94200000000001</v>
      </c>
      <c r="D16" s="2">
        <v>400.76499999999999</v>
      </c>
      <c r="E16" s="2">
        <v>980.05</v>
      </c>
      <c r="F16" s="2">
        <v>2090.7199999999998</v>
      </c>
      <c r="G16" s="2">
        <v>2986.41</v>
      </c>
      <c r="H16" s="2">
        <v>3994.8</v>
      </c>
      <c r="I16" s="2">
        <v>7787.34</v>
      </c>
      <c r="K16" s="1">
        <v>12</v>
      </c>
      <c r="L16" s="2">
        <v>23.107099999999999</v>
      </c>
      <c r="M16" s="2">
        <v>111.285</v>
      </c>
      <c r="N16" s="2">
        <v>189.25299999999999</v>
      </c>
      <c r="O16" s="2">
        <v>470.125</v>
      </c>
      <c r="P16" s="2">
        <v>946.56899999999996</v>
      </c>
      <c r="Q16" s="2">
        <v>1427.46</v>
      </c>
      <c r="R16" s="2">
        <v>1952.09</v>
      </c>
      <c r="S16" s="2">
        <v>3775.47</v>
      </c>
      <c r="U16" s="1">
        <v>12</v>
      </c>
      <c r="V16" s="2">
        <v>37.0002</v>
      </c>
      <c r="W16" s="2">
        <v>91.587100000000007</v>
      </c>
      <c r="X16" s="2">
        <v>209.99100000000001</v>
      </c>
      <c r="Y16" s="2">
        <v>85.008899999999997</v>
      </c>
      <c r="Z16" s="2">
        <v>413.40499999999997</v>
      </c>
      <c r="AA16" s="2">
        <v>2330.4899999999998</v>
      </c>
      <c r="AB16" s="2">
        <v>3665.93</v>
      </c>
      <c r="AC16" s="2">
        <v>5200.08</v>
      </c>
      <c r="AE16" s="1">
        <v>12</v>
      </c>
      <c r="AF16" s="3">
        <v>20.077000000000002</v>
      </c>
      <c r="AG16" s="3">
        <v>107.03400000000001</v>
      </c>
      <c r="AH16" s="3">
        <v>198.523</v>
      </c>
      <c r="AI16" s="3">
        <v>522.81500000000005</v>
      </c>
      <c r="AJ16" s="3">
        <v>993.05399999999997</v>
      </c>
      <c r="AK16" s="3">
        <v>1503.49</v>
      </c>
      <c r="AL16" s="3">
        <v>2027.05</v>
      </c>
      <c r="AM16" s="3">
        <v>4012.24</v>
      </c>
      <c r="BA16" s="1">
        <v>12</v>
      </c>
      <c r="BB16" s="2">
        <v>195.304</v>
      </c>
      <c r="BC16" s="2">
        <v>197.62899999999999</v>
      </c>
      <c r="BD16" s="2">
        <v>205.1</v>
      </c>
      <c r="BE16" s="2">
        <v>253.56200000000001</v>
      </c>
      <c r="BF16" s="3">
        <v>613.51900000000001</v>
      </c>
      <c r="BG16" s="3">
        <v>3996.54</v>
      </c>
      <c r="BI16" s="1">
        <v>12</v>
      </c>
      <c r="BJ16" s="2">
        <v>117.849</v>
      </c>
      <c r="BK16" s="2">
        <v>265.98700000000002</v>
      </c>
      <c r="BL16" s="2">
        <v>386.529</v>
      </c>
      <c r="BM16" s="2">
        <v>152.893</v>
      </c>
      <c r="BN16" s="3">
        <v>118.851</v>
      </c>
      <c r="BO16" s="3">
        <v>844.54899999999998</v>
      </c>
    </row>
    <row r="17" spans="1:75" x14ac:dyDescent="0.4">
      <c r="A17" s="1">
        <v>13</v>
      </c>
      <c r="B17" s="2">
        <v>40.387900000000002</v>
      </c>
      <c r="C17" s="2">
        <v>204.28</v>
      </c>
      <c r="D17" s="2">
        <v>396.89299999999997</v>
      </c>
      <c r="E17" s="2">
        <v>1008.88</v>
      </c>
      <c r="F17" s="2">
        <v>2005.57</v>
      </c>
      <c r="G17" s="2">
        <v>2987.15</v>
      </c>
      <c r="H17" s="2">
        <v>3941.48</v>
      </c>
      <c r="I17" s="2">
        <v>8054.15</v>
      </c>
      <c r="K17" s="1">
        <v>13</v>
      </c>
      <c r="L17" s="2">
        <v>21.1082</v>
      </c>
      <c r="M17" s="2">
        <v>98.787999999999997</v>
      </c>
      <c r="N17" s="2">
        <v>188.69</v>
      </c>
      <c r="O17" s="2">
        <v>474.86799999999999</v>
      </c>
      <c r="P17" s="2">
        <v>942.601</v>
      </c>
      <c r="Q17" s="2">
        <v>1410.82</v>
      </c>
      <c r="R17" s="2">
        <v>1940.91</v>
      </c>
      <c r="S17" s="2">
        <v>3748.2</v>
      </c>
      <c r="U17" s="1">
        <v>13</v>
      </c>
      <c r="V17" s="2">
        <v>4.3020199999999997</v>
      </c>
      <c r="W17" s="2">
        <v>124.39700000000001</v>
      </c>
      <c r="X17" s="2">
        <v>179.541</v>
      </c>
      <c r="Y17" s="2">
        <v>72.634</v>
      </c>
      <c r="Z17" s="2">
        <v>284.49700000000001</v>
      </c>
      <c r="AA17" s="2">
        <v>2532.17</v>
      </c>
      <c r="AB17" s="2">
        <v>2454.02</v>
      </c>
      <c r="AC17" s="2">
        <v>4911.5</v>
      </c>
      <c r="AE17" s="1">
        <v>13</v>
      </c>
      <c r="AF17" s="3">
        <v>19.876999999999999</v>
      </c>
      <c r="AG17" s="3">
        <v>110.054</v>
      </c>
      <c r="AH17" s="3">
        <v>195.60400000000001</v>
      </c>
      <c r="AI17" s="3">
        <v>497.95299999999997</v>
      </c>
      <c r="AJ17" s="3">
        <v>985.02700000000004</v>
      </c>
      <c r="AK17" s="3">
        <v>1525.57</v>
      </c>
      <c r="AL17" s="3">
        <v>2000.08</v>
      </c>
      <c r="AM17" s="3">
        <v>3940.39</v>
      </c>
      <c r="BA17" s="1">
        <v>13</v>
      </c>
      <c r="BB17" s="2">
        <v>194.04</v>
      </c>
      <c r="BC17" s="2">
        <v>196.33699999999999</v>
      </c>
      <c r="BD17" s="2">
        <v>196.14099999999999</v>
      </c>
      <c r="BE17" s="2">
        <v>252.084</v>
      </c>
      <c r="BF17" s="3">
        <v>668.75900000000001</v>
      </c>
      <c r="BG17" s="3">
        <v>3867.62</v>
      </c>
      <c r="BI17" s="1">
        <v>13</v>
      </c>
      <c r="BJ17" s="2">
        <v>275.44099999999997</v>
      </c>
      <c r="BK17" s="2">
        <v>403.92</v>
      </c>
      <c r="BL17" s="2">
        <v>103.042</v>
      </c>
      <c r="BM17" s="2">
        <v>332.971</v>
      </c>
      <c r="BN17" s="3">
        <v>321.12400000000002</v>
      </c>
      <c r="BO17" s="3">
        <v>689.87099999999998</v>
      </c>
    </row>
    <row r="18" spans="1:75" x14ac:dyDescent="0.4">
      <c r="A18" s="1">
        <v>14</v>
      </c>
      <c r="B18" s="2">
        <v>39.779899999999998</v>
      </c>
      <c r="C18" s="2">
        <v>199.95699999999999</v>
      </c>
      <c r="D18" s="2">
        <v>394.48099999999999</v>
      </c>
      <c r="E18" s="2">
        <v>1054.44</v>
      </c>
      <c r="F18" s="2">
        <v>1979.02</v>
      </c>
      <c r="G18" s="2">
        <v>3034.81</v>
      </c>
      <c r="H18" s="2">
        <v>3957.36</v>
      </c>
      <c r="I18" s="2">
        <v>7851.09</v>
      </c>
      <c r="K18" s="1">
        <v>14</v>
      </c>
      <c r="L18" s="2">
        <v>19.569900000000001</v>
      </c>
      <c r="M18" s="2">
        <v>94.7881</v>
      </c>
      <c r="N18" s="2">
        <v>194.779</v>
      </c>
      <c r="O18" s="2">
        <v>479.18099999999998</v>
      </c>
      <c r="P18" s="2">
        <v>944.87699999999995</v>
      </c>
      <c r="Q18" s="2">
        <v>1412.85</v>
      </c>
      <c r="R18" s="2">
        <v>1900.12</v>
      </c>
      <c r="S18" s="2">
        <v>3847.71</v>
      </c>
      <c r="U18" s="1">
        <v>14</v>
      </c>
      <c r="V18" s="2">
        <v>2.72417</v>
      </c>
      <c r="W18" s="2">
        <v>154.267</v>
      </c>
      <c r="X18" s="2">
        <v>236.559</v>
      </c>
      <c r="Y18" s="2">
        <v>385.54300000000001</v>
      </c>
      <c r="Z18" s="2">
        <v>1954.4</v>
      </c>
      <c r="AA18" s="2">
        <v>4830.12</v>
      </c>
      <c r="AB18" s="2">
        <v>2090.2199999999998</v>
      </c>
      <c r="AC18" s="2">
        <v>2066.77</v>
      </c>
      <c r="AE18" s="1">
        <v>14</v>
      </c>
      <c r="AF18" s="3">
        <v>20.155000000000001</v>
      </c>
      <c r="AG18" s="3">
        <v>96.794799999999995</v>
      </c>
      <c r="AH18" s="3">
        <v>195.16</v>
      </c>
      <c r="AI18" s="3">
        <v>491.67899999999997</v>
      </c>
      <c r="AJ18" s="3">
        <v>1014.82</v>
      </c>
      <c r="AK18" s="3">
        <v>1496.04</v>
      </c>
      <c r="AL18" s="3">
        <v>1986.12</v>
      </c>
      <c r="AM18" s="3">
        <v>3948.22</v>
      </c>
      <c r="BA18" s="1">
        <v>14</v>
      </c>
      <c r="BB18" s="2">
        <v>196.75299999999999</v>
      </c>
      <c r="BC18" s="2">
        <v>196.38800000000001</v>
      </c>
      <c r="BD18" s="2">
        <v>209.66499999999999</v>
      </c>
      <c r="BE18" s="2">
        <v>247.59100000000001</v>
      </c>
      <c r="BF18" s="3">
        <v>615.81700000000001</v>
      </c>
      <c r="BG18" s="3">
        <v>3847.69</v>
      </c>
      <c r="BI18" s="1">
        <v>14</v>
      </c>
      <c r="BJ18" s="2">
        <v>222.04300000000001</v>
      </c>
      <c r="BK18" s="2">
        <v>140.11600000000001</v>
      </c>
      <c r="BL18" s="2">
        <v>228.84200000000001</v>
      </c>
      <c r="BM18" s="2">
        <v>385.71899999999999</v>
      </c>
      <c r="BN18" s="3">
        <v>69.748900000000006</v>
      </c>
      <c r="BO18" s="3">
        <v>660.04200000000003</v>
      </c>
    </row>
    <row r="19" spans="1:75" x14ac:dyDescent="0.4">
      <c r="A19" s="1">
        <v>15</v>
      </c>
      <c r="B19" s="2">
        <v>39.0351</v>
      </c>
      <c r="C19" s="2">
        <v>216.995</v>
      </c>
      <c r="D19" s="2">
        <v>407.31</v>
      </c>
      <c r="E19" s="2">
        <v>1007.97</v>
      </c>
      <c r="F19" s="2">
        <v>2027.49</v>
      </c>
      <c r="G19" s="2">
        <v>2925.18</v>
      </c>
      <c r="H19" s="2">
        <v>3889.6</v>
      </c>
      <c r="I19" s="2">
        <v>7906.51</v>
      </c>
      <c r="K19" s="1">
        <v>15</v>
      </c>
      <c r="L19" s="2">
        <v>18.908000000000001</v>
      </c>
      <c r="M19" s="2">
        <v>103.715</v>
      </c>
      <c r="N19" s="2">
        <v>189.18700000000001</v>
      </c>
      <c r="O19" s="2">
        <v>473.846</v>
      </c>
      <c r="P19" s="2">
        <v>937.43700000000001</v>
      </c>
      <c r="Q19" s="2">
        <v>1420.38</v>
      </c>
      <c r="R19" s="2">
        <v>1909.86</v>
      </c>
      <c r="S19" s="2">
        <v>3834.72</v>
      </c>
      <c r="U19" s="1">
        <v>15</v>
      </c>
      <c r="V19" s="2">
        <v>27.569099999999999</v>
      </c>
      <c r="W19" s="2">
        <v>127.44</v>
      </c>
      <c r="X19" s="2">
        <v>240.595</v>
      </c>
      <c r="Y19" s="2">
        <v>492.339</v>
      </c>
      <c r="Z19" s="2">
        <v>1200.3399999999999</v>
      </c>
      <c r="AA19" s="2">
        <v>2265.3200000000002</v>
      </c>
      <c r="AB19" s="2">
        <v>1424</v>
      </c>
      <c r="AC19" s="2">
        <v>5669.17</v>
      </c>
      <c r="AE19" s="1">
        <v>15</v>
      </c>
      <c r="AF19" s="3">
        <v>20.156099999999999</v>
      </c>
      <c r="AG19" s="3">
        <v>96.439800000000005</v>
      </c>
      <c r="AH19" s="3">
        <v>196.71700000000001</v>
      </c>
      <c r="AI19" s="3">
        <v>491.23099999999999</v>
      </c>
      <c r="AJ19" s="3">
        <v>986.43899999999996</v>
      </c>
      <c r="AK19" s="3">
        <v>1530.68</v>
      </c>
      <c r="AL19" s="3">
        <v>1988</v>
      </c>
      <c r="AM19" s="3">
        <v>3928.26</v>
      </c>
      <c r="BA19" s="1">
        <v>15</v>
      </c>
      <c r="BB19" s="2">
        <v>196.274</v>
      </c>
      <c r="BC19" s="2">
        <v>196.995</v>
      </c>
      <c r="BD19" s="2">
        <v>219.88</v>
      </c>
      <c r="BE19" s="2">
        <v>247.227</v>
      </c>
      <c r="BF19" s="3">
        <v>635.04999999999995</v>
      </c>
      <c r="BG19" s="3">
        <v>4310.79</v>
      </c>
      <c r="BI19" s="1">
        <v>15</v>
      </c>
      <c r="BJ19" s="2">
        <v>448.74200000000002</v>
      </c>
      <c r="BK19" s="2">
        <v>462.04599999999999</v>
      </c>
      <c r="BL19" s="2">
        <v>409.32100000000003</v>
      </c>
      <c r="BM19" s="2">
        <v>185.18299999999999</v>
      </c>
      <c r="BN19" s="3">
        <v>287.42899999999997</v>
      </c>
      <c r="BO19" s="3">
        <v>671.03399999999999</v>
      </c>
    </row>
    <row r="20" spans="1:75" x14ac:dyDescent="0.4">
      <c r="A20" s="1">
        <v>16</v>
      </c>
      <c r="B20" s="2">
        <v>40.079099999999997</v>
      </c>
      <c r="C20" s="2">
        <v>199.14400000000001</v>
      </c>
      <c r="D20" s="2">
        <v>416.49400000000003</v>
      </c>
      <c r="E20" s="2">
        <v>1029.1400000000001</v>
      </c>
      <c r="F20" s="2">
        <v>1996.64</v>
      </c>
      <c r="G20" s="2">
        <v>2969.04</v>
      </c>
      <c r="H20" s="2">
        <v>3998.06</v>
      </c>
      <c r="I20" s="2">
        <v>7978.14</v>
      </c>
      <c r="K20" s="1">
        <v>16</v>
      </c>
      <c r="L20" s="2">
        <v>18.850999999999999</v>
      </c>
      <c r="M20" s="2">
        <v>98.189099999999996</v>
      </c>
      <c r="N20" s="2">
        <v>201.48099999999999</v>
      </c>
      <c r="O20" s="2">
        <v>497.57600000000002</v>
      </c>
      <c r="P20" s="2">
        <v>1006.48</v>
      </c>
      <c r="Q20" s="2">
        <v>1442.06</v>
      </c>
      <c r="R20" s="2">
        <v>1883.46</v>
      </c>
      <c r="S20" s="2">
        <v>3851.18</v>
      </c>
      <c r="U20" s="1">
        <v>16</v>
      </c>
      <c r="V20" s="2">
        <v>11.5268</v>
      </c>
      <c r="W20" s="2">
        <v>121.399</v>
      </c>
      <c r="X20" s="2">
        <v>436.13200000000001</v>
      </c>
      <c r="Y20" s="2">
        <v>734.99199999999996</v>
      </c>
      <c r="Z20" s="2">
        <v>648.21600000000001</v>
      </c>
      <c r="AA20" s="2">
        <v>1372.49</v>
      </c>
      <c r="AB20" s="2">
        <v>2923.08</v>
      </c>
      <c r="AC20" s="2">
        <v>9160.23</v>
      </c>
      <c r="AE20" s="1">
        <v>16</v>
      </c>
      <c r="AF20" s="3">
        <v>20.288900000000002</v>
      </c>
      <c r="AG20" s="3">
        <v>97.944000000000003</v>
      </c>
      <c r="AH20" s="3">
        <v>199.577</v>
      </c>
      <c r="AI20" s="3">
        <v>511.96199999999999</v>
      </c>
      <c r="AJ20" s="3">
        <v>985.95299999999997</v>
      </c>
      <c r="AK20" s="3">
        <v>1695.8</v>
      </c>
      <c r="AL20" s="3">
        <v>1989.25</v>
      </c>
      <c r="AM20" s="3">
        <v>3973.12</v>
      </c>
      <c r="BA20" s="1">
        <v>16</v>
      </c>
      <c r="BB20" s="2">
        <v>197.16200000000001</v>
      </c>
      <c r="BC20" s="2">
        <v>196.07499999999999</v>
      </c>
      <c r="BD20" s="2">
        <v>198.68100000000001</v>
      </c>
      <c r="BE20" s="2">
        <v>247.96100000000001</v>
      </c>
      <c r="BF20" s="3">
        <v>633.92600000000004</v>
      </c>
      <c r="BG20" s="3">
        <v>4045.2</v>
      </c>
      <c r="BI20" s="1">
        <v>16</v>
      </c>
      <c r="BJ20" s="2">
        <v>306.26799999999997</v>
      </c>
      <c r="BK20" s="2">
        <v>90.465100000000007</v>
      </c>
      <c r="BL20" s="2">
        <v>155.244</v>
      </c>
      <c r="BM20" s="2">
        <v>361.274</v>
      </c>
      <c r="BN20" s="3">
        <v>162.02000000000001</v>
      </c>
      <c r="BO20" s="3">
        <v>590.83199999999999</v>
      </c>
    </row>
    <row r="21" spans="1:75" x14ac:dyDescent="0.4">
      <c r="A21" s="1">
        <v>17</v>
      </c>
      <c r="B21" s="2">
        <v>39.519100000000002</v>
      </c>
      <c r="C21" s="2">
        <v>196.44200000000001</v>
      </c>
      <c r="D21" s="2">
        <v>394.60300000000001</v>
      </c>
      <c r="E21" s="2">
        <v>983.31899999999996</v>
      </c>
      <c r="F21" s="2">
        <v>2000.76</v>
      </c>
      <c r="G21" s="2">
        <v>2960.91</v>
      </c>
      <c r="H21" s="2">
        <v>3922.75</v>
      </c>
      <c r="I21" s="2">
        <v>7942.12</v>
      </c>
      <c r="K21" s="1">
        <v>17</v>
      </c>
      <c r="L21" s="2">
        <v>18.964099999999998</v>
      </c>
      <c r="M21" s="2">
        <v>94.119100000000003</v>
      </c>
      <c r="N21" s="2">
        <v>204.505</v>
      </c>
      <c r="O21" s="2">
        <v>476.17700000000002</v>
      </c>
      <c r="P21" s="2">
        <v>947.79700000000003</v>
      </c>
      <c r="Q21" s="2">
        <v>1417.13</v>
      </c>
      <c r="R21" s="2">
        <v>1875.99</v>
      </c>
      <c r="S21" s="2">
        <v>3814.52</v>
      </c>
      <c r="U21" s="1">
        <v>17</v>
      </c>
      <c r="V21" s="2">
        <v>30.048100000000002</v>
      </c>
      <c r="W21" s="2">
        <v>112.666</v>
      </c>
      <c r="X21" s="2">
        <v>174.733</v>
      </c>
      <c r="Y21" s="2">
        <v>1010.55</v>
      </c>
      <c r="Z21" s="2">
        <v>208.899</v>
      </c>
      <c r="AA21" s="2">
        <v>988.13</v>
      </c>
      <c r="AB21" s="2">
        <v>5007.83</v>
      </c>
      <c r="AC21" s="2">
        <v>3929.45</v>
      </c>
      <c r="AE21" s="1">
        <v>17</v>
      </c>
      <c r="AF21" s="3">
        <v>20.161899999999999</v>
      </c>
      <c r="AG21" s="3">
        <v>96.947900000000004</v>
      </c>
      <c r="AH21" s="3">
        <v>195.44</v>
      </c>
      <c r="AI21" s="3">
        <v>492.49</v>
      </c>
      <c r="AJ21" s="3">
        <v>1020.47</v>
      </c>
      <c r="AK21" s="3">
        <v>1508.95</v>
      </c>
      <c r="AL21" s="3">
        <v>2004.1</v>
      </c>
      <c r="AM21" s="3">
        <v>4006.8</v>
      </c>
      <c r="BA21" s="1">
        <v>17</v>
      </c>
      <c r="BB21" s="2">
        <v>199.893</v>
      </c>
      <c r="BC21" s="2">
        <v>196.23400000000001</v>
      </c>
      <c r="BD21" s="2">
        <v>194.31100000000001</v>
      </c>
      <c r="BE21" s="2">
        <v>252.06</v>
      </c>
      <c r="BF21" s="3">
        <v>624.09</v>
      </c>
      <c r="BG21" s="3">
        <v>4068.57</v>
      </c>
      <c r="BI21" s="1">
        <v>17</v>
      </c>
      <c r="BJ21" s="2">
        <v>574.298</v>
      </c>
      <c r="BK21" s="2">
        <v>424.80399999999997</v>
      </c>
      <c r="BL21" s="2">
        <v>106.398</v>
      </c>
      <c r="BM21" s="2">
        <v>383.762</v>
      </c>
      <c r="BN21" s="3">
        <v>69.555000000000007</v>
      </c>
      <c r="BO21" s="3">
        <v>857.48900000000003</v>
      </c>
    </row>
    <row r="22" spans="1:75" x14ac:dyDescent="0.4">
      <c r="A22" s="1">
        <v>18</v>
      </c>
      <c r="B22" s="2">
        <v>43.482999999999997</v>
      </c>
      <c r="C22" s="2">
        <v>213.434</v>
      </c>
      <c r="D22" s="2">
        <v>407.96699999999998</v>
      </c>
      <c r="E22" s="2">
        <v>1028.43</v>
      </c>
      <c r="F22" s="2">
        <v>1982.03</v>
      </c>
      <c r="G22" s="2">
        <v>3011.48</v>
      </c>
      <c r="H22" s="2">
        <v>3951.32</v>
      </c>
      <c r="I22" s="2">
        <v>8000.46</v>
      </c>
      <c r="K22" s="1">
        <v>18</v>
      </c>
      <c r="L22" s="2">
        <v>19.3172</v>
      </c>
      <c r="M22" s="2">
        <v>94.380899999999997</v>
      </c>
      <c r="N22" s="2">
        <v>190.614</v>
      </c>
      <c r="O22" s="2">
        <v>505.70400000000001</v>
      </c>
      <c r="P22" s="2">
        <v>953.09199999999998</v>
      </c>
      <c r="Q22" s="2">
        <v>1408.69</v>
      </c>
      <c r="R22" s="2">
        <v>1873.71</v>
      </c>
      <c r="S22" s="2">
        <v>3781.21</v>
      </c>
      <c r="U22" s="1">
        <v>18</v>
      </c>
      <c r="V22" s="2">
        <v>10.5588</v>
      </c>
      <c r="W22" s="2">
        <v>104.14700000000001</v>
      </c>
      <c r="X22" s="2">
        <v>29.658799999999999</v>
      </c>
      <c r="Y22" s="2">
        <v>445.35500000000002</v>
      </c>
      <c r="Z22" s="2">
        <v>577.32399999999996</v>
      </c>
      <c r="AA22" s="2">
        <v>919.34</v>
      </c>
      <c r="AB22" s="2">
        <v>1672</v>
      </c>
      <c r="AC22" s="2">
        <v>8268.65</v>
      </c>
      <c r="AE22" s="1">
        <v>18</v>
      </c>
      <c r="AF22" s="3">
        <v>21.867999999999999</v>
      </c>
      <c r="AG22" s="3">
        <v>97.381799999999998</v>
      </c>
      <c r="AH22" s="3">
        <v>205.9</v>
      </c>
      <c r="AI22" s="3">
        <v>506.35500000000002</v>
      </c>
      <c r="AJ22" s="3">
        <v>975.78399999999999</v>
      </c>
      <c r="AK22" s="3">
        <v>1531.15</v>
      </c>
      <c r="AL22" s="3">
        <v>1980.53</v>
      </c>
      <c r="AM22" s="3">
        <v>3932.84</v>
      </c>
      <c r="BA22" s="1">
        <v>18</v>
      </c>
      <c r="BB22" s="2">
        <v>194.53100000000001</v>
      </c>
      <c r="BC22" s="2">
        <v>195.27799999999999</v>
      </c>
      <c r="BD22" s="2">
        <v>199.99299999999999</v>
      </c>
      <c r="BE22" s="2">
        <v>251.054</v>
      </c>
      <c r="BF22" s="3">
        <v>634.13400000000001</v>
      </c>
      <c r="BG22" s="3">
        <v>4028.17</v>
      </c>
      <c r="BI22" s="1">
        <v>18</v>
      </c>
      <c r="BJ22" s="2">
        <v>336.06099999999998</v>
      </c>
      <c r="BK22" s="2">
        <v>215.863</v>
      </c>
      <c r="BL22" s="2">
        <v>336.57299999999998</v>
      </c>
      <c r="BM22" s="2">
        <v>184.63300000000001</v>
      </c>
      <c r="BN22" s="3">
        <v>213.44900000000001</v>
      </c>
      <c r="BO22" s="3">
        <v>603.35699999999997</v>
      </c>
    </row>
    <row r="23" spans="1:75" x14ac:dyDescent="0.4">
      <c r="A23" s="1">
        <v>19</v>
      </c>
      <c r="B23" s="2">
        <v>39.118099999999998</v>
      </c>
      <c r="C23" s="2">
        <v>231.23599999999999</v>
      </c>
      <c r="D23" s="2">
        <v>396.17700000000002</v>
      </c>
      <c r="E23" s="2">
        <v>1035.5899999999999</v>
      </c>
      <c r="F23" s="2">
        <v>1949.5</v>
      </c>
      <c r="G23" s="2">
        <v>2951.11</v>
      </c>
      <c r="H23" s="2">
        <v>4019.31</v>
      </c>
      <c r="I23" s="2">
        <v>8072.94</v>
      </c>
      <c r="K23" s="1">
        <v>19</v>
      </c>
      <c r="L23" s="2">
        <v>20.113900000000001</v>
      </c>
      <c r="M23" s="2">
        <v>105.40900000000001</v>
      </c>
      <c r="N23" s="2">
        <v>193.673</v>
      </c>
      <c r="O23" s="2">
        <v>478.47399999999999</v>
      </c>
      <c r="P23" s="2">
        <v>948.36099999999999</v>
      </c>
      <c r="Q23" s="2">
        <v>1433.9</v>
      </c>
      <c r="R23" s="2">
        <v>1908.74</v>
      </c>
      <c r="S23" s="2">
        <v>3872.33</v>
      </c>
      <c r="U23" s="1">
        <v>19</v>
      </c>
      <c r="V23" s="2">
        <v>3.7758400000000001</v>
      </c>
      <c r="W23" s="2">
        <v>118.55200000000001</v>
      </c>
      <c r="X23" s="2">
        <v>142.197</v>
      </c>
      <c r="Y23" s="2">
        <v>380.43200000000002</v>
      </c>
      <c r="Z23" s="2">
        <v>472.69400000000002</v>
      </c>
      <c r="AA23" s="2">
        <v>1962.74</v>
      </c>
      <c r="AB23" s="2">
        <v>1000.79</v>
      </c>
      <c r="AC23" s="2">
        <v>5882.82</v>
      </c>
      <c r="AE23" s="1">
        <v>19</v>
      </c>
      <c r="AF23" s="3">
        <v>20.208100000000002</v>
      </c>
      <c r="AG23" s="3">
        <v>98.671000000000006</v>
      </c>
      <c r="AH23" s="3">
        <v>197.524</v>
      </c>
      <c r="AI23" s="3">
        <v>493.23200000000003</v>
      </c>
      <c r="AJ23" s="3">
        <v>1005.72</v>
      </c>
      <c r="AK23" s="3">
        <v>1535.46</v>
      </c>
      <c r="AL23" s="3">
        <v>1967.44</v>
      </c>
      <c r="AM23" s="3">
        <v>4001.31</v>
      </c>
      <c r="BA23" s="1">
        <v>19</v>
      </c>
      <c r="BB23" s="2">
        <v>201.357</v>
      </c>
      <c r="BC23" s="2">
        <v>219.023</v>
      </c>
      <c r="BD23" s="2">
        <v>199.56299999999999</v>
      </c>
      <c r="BE23" s="2">
        <v>246.39500000000001</v>
      </c>
      <c r="BF23" s="3">
        <v>620.42200000000003</v>
      </c>
      <c r="BG23" s="3">
        <v>4095.53</v>
      </c>
      <c r="BI23" s="1">
        <v>19</v>
      </c>
      <c r="BJ23" s="2">
        <v>147.49600000000001</v>
      </c>
      <c r="BK23" s="2">
        <v>639.85799999999995</v>
      </c>
      <c r="BL23" s="2">
        <v>143.44800000000001</v>
      </c>
      <c r="BM23" s="2">
        <v>311.84399999999999</v>
      </c>
      <c r="BN23" s="3">
        <v>195.28200000000001</v>
      </c>
      <c r="BO23" s="3">
        <v>626.34</v>
      </c>
    </row>
    <row r="24" spans="1:75" x14ac:dyDescent="0.4">
      <c r="A24" s="1">
        <v>20</v>
      </c>
      <c r="B24" s="2">
        <v>39.618000000000002</v>
      </c>
      <c r="C24" s="2">
        <v>199.54</v>
      </c>
      <c r="D24" s="2">
        <v>450.61200000000002</v>
      </c>
      <c r="E24" s="2">
        <v>993.19500000000005</v>
      </c>
      <c r="F24" s="2">
        <v>1957.12</v>
      </c>
      <c r="G24" s="2">
        <v>2921.78</v>
      </c>
      <c r="H24" s="2">
        <v>3964.26</v>
      </c>
      <c r="I24" s="2">
        <v>7991.11</v>
      </c>
      <c r="K24" s="1">
        <v>20</v>
      </c>
      <c r="L24" s="2">
        <v>18.7471</v>
      </c>
      <c r="M24" s="2">
        <v>94.556100000000001</v>
      </c>
      <c r="N24" s="2">
        <v>189.35300000000001</v>
      </c>
      <c r="O24" s="2">
        <v>474.78300000000002</v>
      </c>
      <c r="P24" s="2">
        <v>962.62699999999995</v>
      </c>
      <c r="Q24" s="2">
        <v>1420.46</v>
      </c>
      <c r="R24" s="2">
        <v>1887.31</v>
      </c>
      <c r="S24" s="2">
        <v>3833.85</v>
      </c>
      <c r="U24" s="1">
        <v>20</v>
      </c>
      <c r="V24" s="2">
        <v>19.506</v>
      </c>
      <c r="W24" s="2">
        <v>54.149900000000002</v>
      </c>
      <c r="X24" s="2">
        <v>354.82</v>
      </c>
      <c r="Y24" s="2">
        <v>548.59699999999998</v>
      </c>
      <c r="Z24" s="2">
        <v>2115.39</v>
      </c>
      <c r="AA24" s="2">
        <v>259.60700000000003</v>
      </c>
      <c r="AB24" s="2">
        <v>598.86599999999999</v>
      </c>
      <c r="AC24" s="2">
        <v>4478.01</v>
      </c>
      <c r="AE24" s="1">
        <v>20</v>
      </c>
      <c r="AF24" s="3">
        <v>20.1418</v>
      </c>
      <c r="AG24" s="3">
        <v>97.411900000000003</v>
      </c>
      <c r="AH24" s="3">
        <v>195.46199999999999</v>
      </c>
      <c r="AI24" s="3">
        <v>500.80799999999999</v>
      </c>
      <c r="AJ24" s="3">
        <v>984.80700000000002</v>
      </c>
      <c r="AK24" s="3">
        <v>1510.83</v>
      </c>
      <c r="AL24" s="3">
        <v>2029.47</v>
      </c>
      <c r="AM24" s="3">
        <v>3991.84</v>
      </c>
      <c r="BA24" s="1">
        <v>20</v>
      </c>
      <c r="BB24" s="2">
        <v>209.75899999999999</v>
      </c>
      <c r="BC24" s="2">
        <v>208.99799999999999</v>
      </c>
      <c r="BD24" s="2">
        <v>195.054</v>
      </c>
      <c r="BE24" s="2">
        <v>249.76599999999999</v>
      </c>
      <c r="BF24" s="3">
        <v>633.51900000000001</v>
      </c>
      <c r="BG24" s="3">
        <v>3936.74</v>
      </c>
      <c r="BI24" s="1">
        <v>20</v>
      </c>
      <c r="BJ24" s="2">
        <v>342.262</v>
      </c>
      <c r="BK24" s="2">
        <v>250.483</v>
      </c>
      <c r="BL24" s="2">
        <v>43.186900000000001</v>
      </c>
      <c r="BM24" s="2">
        <v>403.59699999999998</v>
      </c>
      <c r="BN24" s="3">
        <v>343.22800000000001</v>
      </c>
      <c r="BO24" s="3">
        <v>565.18600000000004</v>
      </c>
    </row>
    <row r="25" spans="1:75" x14ac:dyDescent="0.4">
      <c r="I25" s="2">
        <v>7878.76</v>
      </c>
      <c r="S25" s="2">
        <v>3811.78</v>
      </c>
      <c r="AC25" s="2">
        <v>1426.42</v>
      </c>
    </row>
    <row r="31" spans="1:75" ht="27.75" x14ac:dyDescent="0.4">
      <c r="A31" s="3" t="s">
        <v>11</v>
      </c>
      <c r="D31" s="2" t="s">
        <v>254</v>
      </c>
      <c r="F31" s="3" t="s">
        <v>94</v>
      </c>
      <c r="I31" s="2" t="s">
        <v>254</v>
      </c>
      <c r="K31" s="3" t="s">
        <v>174</v>
      </c>
      <c r="N31" s="2" t="s">
        <v>254</v>
      </c>
      <c r="P31" s="3" t="s">
        <v>257</v>
      </c>
      <c r="S31" s="2" t="s">
        <v>254</v>
      </c>
      <c r="U31" s="3" t="s">
        <v>337</v>
      </c>
      <c r="X31" s="2" t="s">
        <v>254</v>
      </c>
      <c r="Z31" s="3" t="s">
        <v>417</v>
      </c>
      <c r="AC31" s="2" t="s">
        <v>254</v>
      </c>
      <c r="AE31" s="3" t="s">
        <v>499</v>
      </c>
      <c r="AH31" s="2" t="s">
        <v>254</v>
      </c>
      <c r="AJ31" s="3" t="s">
        <v>579</v>
      </c>
      <c r="AM31" s="2" t="s">
        <v>254</v>
      </c>
      <c r="AO31" s="3" t="s">
        <v>4</v>
      </c>
      <c r="AQ31" s="3" t="s">
        <v>4</v>
      </c>
      <c r="AR31" s="3" t="s">
        <v>5</v>
      </c>
      <c r="AS31" s="3" t="s">
        <v>6</v>
      </c>
      <c r="AT31" s="3" t="s">
        <v>8</v>
      </c>
      <c r="AU31" s="3" t="s">
        <v>7</v>
      </c>
      <c r="AV31" s="3" t="s">
        <v>9</v>
      </c>
      <c r="AW31" s="3" t="s">
        <v>10</v>
      </c>
      <c r="BA31" s="3">
        <v>10</v>
      </c>
      <c r="BE31" s="3">
        <v>100</v>
      </c>
      <c r="BI31" s="3">
        <v>1000</v>
      </c>
      <c r="BM31" s="3">
        <v>10000</v>
      </c>
      <c r="BQ31" s="3">
        <v>100000</v>
      </c>
      <c r="BU31" s="3">
        <v>1000000</v>
      </c>
    </row>
    <row r="32" spans="1:75" ht="27.75" x14ac:dyDescent="0.4">
      <c r="A32" s="3" t="s">
        <v>12</v>
      </c>
      <c r="B32" s="3" t="s">
        <v>13</v>
      </c>
      <c r="D32" s="2">
        <v>40.158999999999999</v>
      </c>
      <c r="F32" s="3" t="s">
        <v>12</v>
      </c>
      <c r="G32" s="3" t="s">
        <v>95</v>
      </c>
      <c r="I32" s="2">
        <v>222.35499999999999</v>
      </c>
      <c r="K32" s="3" t="s">
        <v>12</v>
      </c>
      <c r="L32" s="3" t="s">
        <v>175</v>
      </c>
      <c r="N32" s="2">
        <v>421.01900000000001</v>
      </c>
      <c r="P32" s="3" t="s">
        <v>12</v>
      </c>
      <c r="Q32" s="3" t="s">
        <v>258</v>
      </c>
      <c r="S32" s="2">
        <v>1016.24</v>
      </c>
      <c r="U32" s="3" t="s">
        <v>12</v>
      </c>
      <c r="V32" s="3" t="s">
        <v>338</v>
      </c>
      <c r="X32" s="2">
        <v>2130.8000000000002</v>
      </c>
      <c r="Z32" s="3" t="s">
        <v>12</v>
      </c>
      <c r="AA32" s="3" t="s">
        <v>418</v>
      </c>
      <c r="AC32" s="2">
        <v>2969.01</v>
      </c>
      <c r="AE32" s="3" t="s">
        <v>12</v>
      </c>
      <c r="AF32" s="3" t="s">
        <v>500</v>
      </c>
      <c r="AH32" s="2">
        <v>3963.1</v>
      </c>
      <c r="AJ32" s="3" t="s">
        <v>12</v>
      </c>
      <c r="AK32" s="3" t="s">
        <v>580</v>
      </c>
      <c r="AM32" s="2">
        <v>7843.99</v>
      </c>
      <c r="AO32" s="3" t="s">
        <v>655</v>
      </c>
      <c r="AQ32" s="3">
        <v>20.509</v>
      </c>
      <c r="AR32" s="3">
        <v>126.39700000000001</v>
      </c>
      <c r="AS32" s="3">
        <v>205.721</v>
      </c>
      <c r="AT32" s="3">
        <v>489.07600000000002</v>
      </c>
      <c r="AU32" s="3">
        <v>992.43</v>
      </c>
      <c r="AV32" s="3">
        <v>1496.34</v>
      </c>
      <c r="AW32" s="3">
        <v>1982.33</v>
      </c>
      <c r="AX32" s="3">
        <v>3962.84</v>
      </c>
      <c r="BA32" s="3" t="s">
        <v>14</v>
      </c>
      <c r="BB32" s="2" t="s">
        <v>678</v>
      </c>
      <c r="BC32" s="2" t="s">
        <v>255</v>
      </c>
      <c r="BE32" s="3" t="s">
        <v>14</v>
      </c>
      <c r="BF32" s="3" t="s">
        <v>718</v>
      </c>
      <c r="BG32" s="2" t="s">
        <v>255</v>
      </c>
      <c r="BI32" s="3" t="s">
        <v>14</v>
      </c>
      <c r="BJ32" s="3" t="s">
        <v>759</v>
      </c>
      <c r="BK32" s="2" t="s">
        <v>255</v>
      </c>
      <c r="BM32" s="3" t="s">
        <v>14</v>
      </c>
      <c r="BN32" s="3" t="s">
        <v>799</v>
      </c>
      <c r="BO32" s="2" t="s">
        <v>255</v>
      </c>
      <c r="BQ32" s="3" t="s">
        <v>14</v>
      </c>
      <c r="BR32" s="3" t="s">
        <v>839</v>
      </c>
      <c r="BS32" s="3" t="s">
        <v>839</v>
      </c>
      <c r="BU32" s="3" t="s">
        <v>14</v>
      </c>
      <c r="BV32" s="3" t="s">
        <v>879</v>
      </c>
      <c r="BW32" s="3">
        <v>3879.16</v>
      </c>
    </row>
    <row r="33" spans="1:75" x14ac:dyDescent="0.4">
      <c r="A33" s="3" t="s">
        <v>14</v>
      </c>
      <c r="B33" s="3" t="s">
        <v>15</v>
      </c>
      <c r="D33" s="2">
        <v>39.475000000000001</v>
      </c>
      <c r="F33" s="3" t="s">
        <v>14</v>
      </c>
      <c r="G33" s="3" t="s">
        <v>96</v>
      </c>
      <c r="I33" s="2">
        <v>213.054</v>
      </c>
      <c r="K33" s="3" t="s">
        <v>14</v>
      </c>
      <c r="L33" s="3" t="s">
        <v>176</v>
      </c>
      <c r="N33" s="2">
        <v>392.01400000000001</v>
      </c>
      <c r="P33" s="3" t="s">
        <v>14</v>
      </c>
      <c r="Q33" s="3" t="s">
        <v>259</v>
      </c>
      <c r="S33" s="2">
        <v>1007.26</v>
      </c>
      <c r="U33" s="3" t="s">
        <v>14</v>
      </c>
      <c r="V33" s="3" t="s">
        <v>339</v>
      </c>
      <c r="X33" s="2">
        <v>2010.02</v>
      </c>
      <c r="Z33" s="3" t="s">
        <v>14</v>
      </c>
      <c r="AA33" s="3" t="s">
        <v>419</v>
      </c>
      <c r="AC33" s="2">
        <v>2943.68</v>
      </c>
      <c r="AE33" s="3" t="s">
        <v>14</v>
      </c>
      <c r="AF33" s="3" t="s">
        <v>501</v>
      </c>
      <c r="AH33" s="2">
        <v>4011.09</v>
      </c>
      <c r="AJ33" s="3" t="s">
        <v>14</v>
      </c>
      <c r="AK33" s="3" t="s">
        <v>581</v>
      </c>
      <c r="AM33" s="2">
        <v>7890.36</v>
      </c>
      <c r="AO33" s="3" t="s">
        <v>656</v>
      </c>
      <c r="AQ33" s="3">
        <v>20.0791</v>
      </c>
      <c r="AR33" s="3">
        <v>97.133899999999997</v>
      </c>
      <c r="AS33" s="3">
        <v>195.24700000000001</v>
      </c>
      <c r="AT33" s="3">
        <v>489.47899999999998</v>
      </c>
      <c r="AU33" s="3">
        <v>978.971</v>
      </c>
      <c r="AV33" s="3">
        <v>1540.44</v>
      </c>
      <c r="AW33" s="3">
        <v>1987.46</v>
      </c>
      <c r="AX33" s="3">
        <v>4019.34</v>
      </c>
      <c r="BA33" s="3" t="s">
        <v>16</v>
      </c>
      <c r="BB33" s="4" t="s">
        <v>679</v>
      </c>
      <c r="BC33" s="4"/>
      <c r="BE33" s="3" t="s">
        <v>16</v>
      </c>
      <c r="BF33" s="3" t="s">
        <v>719</v>
      </c>
      <c r="BG33" s="4"/>
      <c r="BI33" s="3" t="s">
        <v>16</v>
      </c>
      <c r="BJ33" s="3" t="s">
        <v>760</v>
      </c>
      <c r="BK33" s="4"/>
      <c r="BM33" s="3" t="s">
        <v>16</v>
      </c>
      <c r="BN33" s="3" t="s">
        <v>800</v>
      </c>
      <c r="BO33" s="4"/>
      <c r="BQ33" s="3" t="s">
        <v>16</v>
      </c>
      <c r="BR33" s="3" t="s">
        <v>840</v>
      </c>
      <c r="BS33" s="3" t="s">
        <v>841</v>
      </c>
      <c r="BU33" s="3" t="s">
        <v>16</v>
      </c>
      <c r="BV33" s="3" t="s">
        <v>880</v>
      </c>
      <c r="BW33" s="3">
        <v>3892.18</v>
      </c>
    </row>
    <row r="34" spans="1:75" x14ac:dyDescent="0.4">
      <c r="A34" s="3" t="s">
        <v>16</v>
      </c>
      <c r="B34" s="3" t="s">
        <v>17</v>
      </c>
      <c r="D34" s="2">
        <v>39.812100000000001</v>
      </c>
      <c r="F34" s="3" t="s">
        <v>16</v>
      </c>
      <c r="G34" s="3" t="s">
        <v>97</v>
      </c>
      <c r="I34" s="2">
        <v>205.798</v>
      </c>
      <c r="K34" s="3" t="s">
        <v>16</v>
      </c>
      <c r="L34" s="3" t="s">
        <v>177</v>
      </c>
      <c r="N34" s="2">
        <v>414.11599999999999</v>
      </c>
      <c r="P34" s="3" t="s">
        <v>16</v>
      </c>
      <c r="Q34" s="3" t="s">
        <v>260</v>
      </c>
      <c r="S34" s="2">
        <v>1015.11</v>
      </c>
      <c r="U34" s="3" t="s">
        <v>16</v>
      </c>
      <c r="V34" s="3" t="s">
        <v>340</v>
      </c>
      <c r="X34" s="2">
        <v>2030.39</v>
      </c>
      <c r="Z34" s="3" t="s">
        <v>16</v>
      </c>
      <c r="AA34" s="3" t="s">
        <v>420</v>
      </c>
      <c r="AC34" s="2">
        <v>3014.97</v>
      </c>
      <c r="AE34" s="3" t="s">
        <v>16</v>
      </c>
      <c r="AF34" s="3" t="s">
        <v>502</v>
      </c>
      <c r="AH34" s="2">
        <v>4000.68</v>
      </c>
      <c r="AJ34" s="3" t="s">
        <v>16</v>
      </c>
      <c r="AK34" s="3" t="s">
        <v>582</v>
      </c>
      <c r="AM34" s="2">
        <v>7858.76</v>
      </c>
      <c r="AO34" s="3" t="s">
        <v>657</v>
      </c>
      <c r="AQ34" s="3">
        <v>20.027899999999999</v>
      </c>
      <c r="AR34" s="3">
        <v>97.094999999999999</v>
      </c>
      <c r="AS34" s="3">
        <v>202.85</v>
      </c>
      <c r="AT34" s="3">
        <v>496.75700000000001</v>
      </c>
      <c r="AU34" s="3">
        <v>1031.55</v>
      </c>
      <c r="AV34" s="3">
        <v>1534.57</v>
      </c>
      <c r="AW34" s="3">
        <v>2004.69</v>
      </c>
      <c r="AX34" s="3">
        <v>4021.84</v>
      </c>
      <c r="BA34" s="3" t="s">
        <v>14</v>
      </c>
      <c r="BB34" s="2" t="s">
        <v>680</v>
      </c>
      <c r="BC34" s="2">
        <v>200.61199999999999</v>
      </c>
      <c r="BE34" s="3" t="s">
        <v>14</v>
      </c>
      <c r="BF34" s="3" t="s">
        <v>720</v>
      </c>
      <c r="BG34" s="2">
        <v>198.42</v>
      </c>
      <c r="BI34" s="3" t="s">
        <v>14</v>
      </c>
      <c r="BJ34" s="3" t="s">
        <v>761</v>
      </c>
      <c r="BK34" s="2">
        <v>200.04</v>
      </c>
      <c r="BM34" s="3" t="s">
        <v>14</v>
      </c>
      <c r="BN34" s="3" t="s">
        <v>801</v>
      </c>
      <c r="BO34" s="2">
        <v>251.62799999999999</v>
      </c>
      <c r="BQ34" s="3" t="s">
        <v>14</v>
      </c>
      <c r="BR34" s="3" t="s">
        <v>841</v>
      </c>
      <c r="BS34" s="3" t="s">
        <v>843</v>
      </c>
      <c r="BU34" s="3" t="s">
        <v>14</v>
      </c>
      <c r="BV34" s="3" t="s">
        <v>881</v>
      </c>
      <c r="BW34" s="3">
        <v>3956.37</v>
      </c>
    </row>
    <row r="35" spans="1:75" x14ac:dyDescent="0.4">
      <c r="D35" s="2">
        <v>45.052999999999997</v>
      </c>
      <c r="I35" s="2">
        <v>223.262</v>
      </c>
      <c r="N35" s="2">
        <v>391.08499999999998</v>
      </c>
      <c r="S35" s="2">
        <v>989.09</v>
      </c>
      <c r="X35" s="2">
        <v>1969.42</v>
      </c>
      <c r="AC35" s="2">
        <v>2951.52</v>
      </c>
      <c r="AH35" s="2">
        <v>3977.26</v>
      </c>
      <c r="AM35" s="2">
        <v>7770.76</v>
      </c>
      <c r="AO35" s="3" t="s">
        <v>658</v>
      </c>
      <c r="AQ35" s="3">
        <v>20.541</v>
      </c>
      <c r="AR35" s="3">
        <v>98.655900000000003</v>
      </c>
      <c r="AS35" s="3">
        <v>194.75399999999999</v>
      </c>
      <c r="AT35" s="3">
        <v>486.202</v>
      </c>
      <c r="AU35" s="3">
        <v>994.66399999999999</v>
      </c>
      <c r="AV35" s="3">
        <v>1493.41</v>
      </c>
      <c r="AW35" s="3">
        <v>2025.86</v>
      </c>
      <c r="AX35" s="3">
        <v>3957.44</v>
      </c>
      <c r="BA35" s="3" t="s">
        <v>16</v>
      </c>
      <c r="BB35" s="2" t="s">
        <v>681</v>
      </c>
      <c r="BC35" s="2">
        <v>199.27799999999999</v>
      </c>
      <c r="BE35" s="3" t="s">
        <v>16</v>
      </c>
      <c r="BF35" s="3" t="s">
        <v>721</v>
      </c>
      <c r="BG35" s="2">
        <v>200.46700000000001</v>
      </c>
      <c r="BI35" s="3" t="s">
        <v>16</v>
      </c>
      <c r="BJ35" s="3" t="s">
        <v>762</v>
      </c>
      <c r="BK35" s="2">
        <v>206.43600000000001</v>
      </c>
      <c r="BM35" s="3" t="s">
        <v>16</v>
      </c>
      <c r="BN35" s="3" t="s">
        <v>802</v>
      </c>
      <c r="BO35" s="2">
        <v>246.666</v>
      </c>
      <c r="BQ35" s="3" t="s">
        <v>16</v>
      </c>
      <c r="BR35" s="3" t="s">
        <v>842</v>
      </c>
      <c r="BS35" s="3" t="s">
        <v>845</v>
      </c>
      <c r="BU35" s="3" t="s">
        <v>16</v>
      </c>
      <c r="BV35" s="3" t="s">
        <v>882</v>
      </c>
      <c r="BW35" s="3">
        <v>3886.02</v>
      </c>
    </row>
    <row r="36" spans="1:75" x14ac:dyDescent="0.4">
      <c r="A36" s="3" t="s">
        <v>18</v>
      </c>
      <c r="D36" s="2">
        <v>45.1372</v>
      </c>
      <c r="F36" s="3" t="s">
        <v>98</v>
      </c>
      <c r="I36" s="2">
        <v>195.39699999999999</v>
      </c>
      <c r="K36" s="3" t="s">
        <v>178</v>
      </c>
      <c r="N36" s="2">
        <v>437.55399999999997</v>
      </c>
      <c r="P36" s="3" t="s">
        <v>261</v>
      </c>
      <c r="S36" s="2">
        <v>1070.26</v>
      </c>
      <c r="U36" s="3" t="s">
        <v>341</v>
      </c>
      <c r="X36" s="2">
        <v>1948.71</v>
      </c>
      <c r="Z36" s="3" t="s">
        <v>421</v>
      </c>
      <c r="AC36" s="2">
        <v>3105.22</v>
      </c>
      <c r="AE36" s="3" t="s">
        <v>503</v>
      </c>
      <c r="AH36" s="2">
        <v>3955.18</v>
      </c>
      <c r="AJ36" s="3" t="s">
        <v>583</v>
      </c>
      <c r="AM36" s="2">
        <v>7852.97</v>
      </c>
      <c r="AO36" s="3" t="s">
        <v>659</v>
      </c>
      <c r="AQ36" s="3">
        <v>19.847899999999999</v>
      </c>
      <c r="AR36" s="3">
        <v>96.858000000000004</v>
      </c>
      <c r="AS36" s="3">
        <v>202.852</v>
      </c>
      <c r="AT36" s="3">
        <v>509.91899999999998</v>
      </c>
      <c r="AU36" s="3">
        <v>1006.91</v>
      </c>
      <c r="AV36" s="3">
        <v>1503.12</v>
      </c>
      <c r="AW36" s="3">
        <v>2040.1</v>
      </c>
      <c r="AX36" s="3">
        <v>4031.47</v>
      </c>
      <c r="BA36" s="3" t="s">
        <v>14</v>
      </c>
      <c r="BB36" s="2" t="s">
        <v>682</v>
      </c>
      <c r="BC36" s="2">
        <v>224.745</v>
      </c>
      <c r="BE36" s="3" t="s">
        <v>14</v>
      </c>
      <c r="BF36" s="3" t="s">
        <v>722</v>
      </c>
      <c r="BG36" s="2">
        <v>206.547</v>
      </c>
      <c r="BI36" s="3" t="s">
        <v>14</v>
      </c>
      <c r="BJ36" s="3" t="s">
        <v>763</v>
      </c>
      <c r="BK36" s="2">
        <v>199.11</v>
      </c>
      <c r="BM36" s="3" t="s">
        <v>14</v>
      </c>
      <c r="BN36" s="3" t="s">
        <v>803</v>
      </c>
      <c r="BO36" s="2">
        <v>253.45599999999999</v>
      </c>
      <c r="BQ36" s="3" t="s">
        <v>14</v>
      </c>
      <c r="BR36" s="3" t="s">
        <v>843</v>
      </c>
      <c r="BS36" s="3" t="s">
        <v>847</v>
      </c>
      <c r="BU36" s="3" t="s">
        <v>14</v>
      </c>
      <c r="BV36" s="3" t="s">
        <v>883</v>
      </c>
      <c r="BW36" s="3">
        <v>3918.15</v>
      </c>
    </row>
    <row r="37" spans="1:75" x14ac:dyDescent="0.4">
      <c r="A37" s="3" t="s">
        <v>12</v>
      </c>
      <c r="B37" s="3" t="s">
        <v>19</v>
      </c>
      <c r="D37" s="2">
        <v>38.889899999999997</v>
      </c>
      <c r="F37" s="3" t="s">
        <v>12</v>
      </c>
      <c r="G37" s="3" t="s">
        <v>99</v>
      </c>
      <c r="I37" s="2">
        <v>225.351</v>
      </c>
      <c r="K37" s="3" t="s">
        <v>12</v>
      </c>
      <c r="L37" s="3" t="s">
        <v>179</v>
      </c>
      <c r="N37" s="2">
        <v>400.84399999999999</v>
      </c>
      <c r="P37" s="3" t="s">
        <v>12</v>
      </c>
      <c r="Q37" s="3" t="s">
        <v>262</v>
      </c>
      <c r="S37" s="2">
        <v>1105.8800000000001</v>
      </c>
      <c r="U37" s="3" t="s">
        <v>12</v>
      </c>
      <c r="V37" s="3" t="s">
        <v>342</v>
      </c>
      <c r="X37" s="2">
        <v>2018.06</v>
      </c>
      <c r="Z37" s="3" t="s">
        <v>12</v>
      </c>
      <c r="AA37" s="3" t="s">
        <v>422</v>
      </c>
      <c r="AC37" s="2">
        <v>2992.35</v>
      </c>
      <c r="AE37" s="3" t="s">
        <v>12</v>
      </c>
      <c r="AF37" s="3" t="s">
        <v>504</v>
      </c>
      <c r="AH37" s="2">
        <v>3946.24</v>
      </c>
      <c r="AJ37" s="3" t="s">
        <v>12</v>
      </c>
      <c r="AK37" s="3" t="s">
        <v>584</v>
      </c>
      <c r="AM37" s="2">
        <v>7934.24</v>
      </c>
      <c r="AO37" s="3" t="s">
        <v>660</v>
      </c>
      <c r="AQ37" s="3">
        <v>20.0579</v>
      </c>
      <c r="AR37" s="3">
        <v>99.636099999999999</v>
      </c>
      <c r="AS37" s="3">
        <v>222.65899999999999</v>
      </c>
      <c r="AT37" s="3">
        <v>504.233</v>
      </c>
      <c r="AU37" s="3">
        <v>1004</v>
      </c>
      <c r="AV37" s="3">
        <v>1537.67</v>
      </c>
      <c r="AW37" s="3">
        <v>2003.56</v>
      </c>
      <c r="AX37" s="3">
        <v>3945.8</v>
      </c>
      <c r="BA37" s="3" t="s">
        <v>16</v>
      </c>
      <c r="BB37" s="2" t="s">
        <v>683</v>
      </c>
      <c r="BC37" s="2">
        <v>199.26599999999999</v>
      </c>
      <c r="BE37" s="3" t="s">
        <v>16</v>
      </c>
      <c r="BF37" s="3" t="s">
        <v>723</v>
      </c>
      <c r="BG37" s="2">
        <v>196.678</v>
      </c>
      <c r="BI37" s="3" t="s">
        <v>16</v>
      </c>
      <c r="BJ37" s="3" t="s">
        <v>764</v>
      </c>
      <c r="BK37" s="2">
        <v>194.36099999999999</v>
      </c>
      <c r="BM37" s="3" t="s">
        <v>16</v>
      </c>
      <c r="BN37" s="3" t="s">
        <v>804</v>
      </c>
      <c r="BO37" s="2">
        <v>251.56399999999999</v>
      </c>
      <c r="BQ37" s="3" t="s">
        <v>16</v>
      </c>
      <c r="BR37" s="3" t="s">
        <v>844</v>
      </c>
      <c r="BS37" s="3" t="s">
        <v>849</v>
      </c>
      <c r="BU37" s="3" t="s">
        <v>16</v>
      </c>
      <c r="BV37" s="3" t="s">
        <v>884</v>
      </c>
      <c r="BW37" s="3">
        <v>3939.5</v>
      </c>
    </row>
    <row r="38" spans="1:75" x14ac:dyDescent="0.4">
      <c r="A38" s="3" t="s">
        <v>14</v>
      </c>
      <c r="B38" s="3" t="s">
        <v>20</v>
      </c>
      <c r="D38" s="2">
        <v>38.731099999999998</v>
      </c>
      <c r="F38" s="3" t="s">
        <v>14</v>
      </c>
      <c r="G38" s="3" t="s">
        <v>100</v>
      </c>
      <c r="I38" s="2">
        <v>237.411</v>
      </c>
      <c r="K38" s="3" t="s">
        <v>14</v>
      </c>
      <c r="L38" s="3" t="s">
        <v>180</v>
      </c>
      <c r="N38" s="2">
        <v>395.68400000000003</v>
      </c>
      <c r="P38" s="3" t="s">
        <v>14</v>
      </c>
      <c r="Q38" s="3" t="s">
        <v>263</v>
      </c>
      <c r="S38" s="2">
        <v>1080.96</v>
      </c>
      <c r="U38" s="3" t="s">
        <v>14</v>
      </c>
      <c r="V38" s="3" t="s">
        <v>343</v>
      </c>
      <c r="X38" s="2">
        <v>2109.65</v>
      </c>
      <c r="Z38" s="3" t="s">
        <v>14</v>
      </c>
      <c r="AA38" s="3" t="s">
        <v>423</v>
      </c>
      <c r="AC38" s="2">
        <v>2994.5</v>
      </c>
      <c r="AE38" s="3" t="s">
        <v>14</v>
      </c>
      <c r="AF38" s="3" t="s">
        <v>505</v>
      </c>
      <c r="AH38" s="2">
        <v>3956.33</v>
      </c>
      <c r="AJ38" s="3" t="s">
        <v>14</v>
      </c>
      <c r="AK38" s="3" t="s">
        <v>585</v>
      </c>
      <c r="AM38" s="2">
        <v>7889.61</v>
      </c>
      <c r="AO38" s="3" t="s">
        <v>661</v>
      </c>
      <c r="AQ38" s="3">
        <v>19.986899999999999</v>
      </c>
      <c r="AR38" s="3">
        <v>96.495199999999997</v>
      </c>
      <c r="AS38" s="3">
        <v>208.18700000000001</v>
      </c>
      <c r="AT38" s="3">
        <v>488.38799999999998</v>
      </c>
      <c r="AU38" s="3">
        <v>990.87800000000004</v>
      </c>
      <c r="AV38" s="3">
        <v>1541.25</v>
      </c>
      <c r="AW38" s="3">
        <v>1999.17</v>
      </c>
      <c r="AX38" s="3">
        <v>3967.14</v>
      </c>
      <c r="BA38" s="3" t="s">
        <v>14</v>
      </c>
      <c r="BB38" s="2" t="s">
        <v>684</v>
      </c>
      <c r="BC38" s="2">
        <v>194.518</v>
      </c>
      <c r="BE38" s="3" t="s">
        <v>14</v>
      </c>
      <c r="BF38" s="3" t="s">
        <v>724</v>
      </c>
      <c r="BG38" s="2">
        <v>199.01300000000001</v>
      </c>
      <c r="BI38" s="3" t="s">
        <v>14</v>
      </c>
      <c r="BJ38" s="3" t="s">
        <v>765</v>
      </c>
      <c r="BK38" s="2">
        <v>196.52600000000001</v>
      </c>
      <c r="BM38" s="3" t="s">
        <v>14</v>
      </c>
      <c r="BN38" s="3" t="s">
        <v>805</v>
      </c>
      <c r="BO38" s="2">
        <v>249.48</v>
      </c>
      <c r="BQ38" s="3" t="s">
        <v>14</v>
      </c>
      <c r="BR38" s="3" t="s">
        <v>845</v>
      </c>
      <c r="BS38" s="3" t="s">
        <v>851</v>
      </c>
      <c r="BU38" s="3" t="s">
        <v>14</v>
      </c>
      <c r="BV38" s="3" t="s">
        <v>885</v>
      </c>
      <c r="BW38" s="3">
        <v>3891.78</v>
      </c>
    </row>
    <row r="39" spans="1:75" x14ac:dyDescent="0.4">
      <c r="A39" s="3" t="s">
        <v>16</v>
      </c>
      <c r="B39" s="3" t="s">
        <v>21</v>
      </c>
      <c r="D39" s="2">
        <v>39.190100000000001</v>
      </c>
      <c r="F39" s="3" t="s">
        <v>16</v>
      </c>
      <c r="G39" s="3" t="s">
        <v>101</v>
      </c>
      <c r="I39" s="2">
        <v>223.93799999999999</v>
      </c>
      <c r="K39" s="3" t="s">
        <v>16</v>
      </c>
      <c r="L39" s="3" t="s">
        <v>181</v>
      </c>
      <c r="N39" s="2">
        <v>400.61799999999999</v>
      </c>
      <c r="P39" s="3" t="s">
        <v>16</v>
      </c>
      <c r="Q39" s="3" t="s">
        <v>264</v>
      </c>
      <c r="S39" s="2">
        <v>1026.31</v>
      </c>
      <c r="U39" s="3" t="s">
        <v>16</v>
      </c>
      <c r="V39" s="3" t="s">
        <v>344</v>
      </c>
      <c r="X39" s="2">
        <v>1975.81</v>
      </c>
      <c r="Z39" s="3" t="s">
        <v>16</v>
      </c>
      <c r="AA39" s="3" t="s">
        <v>424</v>
      </c>
      <c r="AC39" s="2">
        <v>2951.26</v>
      </c>
      <c r="AE39" s="3" t="s">
        <v>16</v>
      </c>
      <c r="AF39" s="3" t="s">
        <v>506</v>
      </c>
      <c r="AH39" s="2">
        <v>4036.15</v>
      </c>
      <c r="AJ39" s="3" t="s">
        <v>16</v>
      </c>
      <c r="AK39" s="3" t="s">
        <v>586</v>
      </c>
      <c r="AM39" s="2">
        <v>7876.42</v>
      </c>
      <c r="AO39" s="3" t="s">
        <v>662</v>
      </c>
      <c r="AQ39" s="3">
        <v>20.615100000000002</v>
      </c>
      <c r="AR39" s="3">
        <v>96.328000000000003</v>
      </c>
      <c r="AS39" s="3">
        <v>198.70400000000001</v>
      </c>
      <c r="AT39" s="3">
        <v>541.16700000000003</v>
      </c>
      <c r="AU39" s="3">
        <v>983.44600000000003</v>
      </c>
      <c r="AV39" s="3">
        <v>1517.83</v>
      </c>
      <c r="AW39" s="3">
        <v>2013.94</v>
      </c>
      <c r="AX39" s="3">
        <v>3970.59</v>
      </c>
      <c r="BA39" s="3" t="s">
        <v>16</v>
      </c>
      <c r="BB39" s="2" t="s">
        <v>685</v>
      </c>
      <c r="BC39" s="2">
        <v>198.017</v>
      </c>
      <c r="BE39" s="3" t="s">
        <v>16</v>
      </c>
      <c r="BF39" s="3" t="s">
        <v>725</v>
      </c>
      <c r="BG39" s="2">
        <v>199.43100000000001</v>
      </c>
      <c r="BI39" s="3" t="s">
        <v>16</v>
      </c>
      <c r="BJ39" s="3" t="s">
        <v>766</v>
      </c>
      <c r="BK39" s="2">
        <v>195.87100000000001</v>
      </c>
      <c r="BM39" s="3" t="s">
        <v>16</v>
      </c>
      <c r="BN39" s="3" t="s">
        <v>806</v>
      </c>
      <c r="BO39" s="2">
        <v>269.89800000000002</v>
      </c>
      <c r="BQ39" s="3" t="s">
        <v>16</v>
      </c>
      <c r="BR39" s="3" t="s">
        <v>846</v>
      </c>
      <c r="BS39" s="3" t="s">
        <v>853</v>
      </c>
      <c r="BU39" s="3" t="s">
        <v>16</v>
      </c>
      <c r="BV39" s="3" t="s">
        <v>886</v>
      </c>
      <c r="BW39" s="3">
        <v>3988.84</v>
      </c>
    </row>
    <row r="40" spans="1:75" x14ac:dyDescent="0.4">
      <c r="D40" s="2">
        <v>39.134</v>
      </c>
      <c r="I40" s="2">
        <v>195.81800000000001</v>
      </c>
      <c r="N40" s="2">
        <v>431.75400000000002</v>
      </c>
      <c r="S40" s="2">
        <v>984.78200000000004</v>
      </c>
      <c r="X40" s="2">
        <v>1975.75</v>
      </c>
      <c r="AC40" s="2">
        <v>2980.47</v>
      </c>
      <c r="AH40" s="2">
        <v>3927.51</v>
      </c>
      <c r="AM40" s="2">
        <v>7814.23</v>
      </c>
      <c r="AO40" s="3" t="s">
        <v>663</v>
      </c>
      <c r="AQ40" s="3">
        <v>20.108000000000001</v>
      </c>
      <c r="AR40" s="3">
        <v>96.575999999999993</v>
      </c>
      <c r="AS40" s="3">
        <v>194.96</v>
      </c>
      <c r="AT40" s="3">
        <v>485.33199999999999</v>
      </c>
      <c r="AU40" s="3">
        <v>1014.63</v>
      </c>
      <c r="AV40" s="3">
        <v>1587.45</v>
      </c>
      <c r="AW40" s="3">
        <v>2018.87</v>
      </c>
      <c r="AX40" s="3">
        <v>3960.94</v>
      </c>
      <c r="BA40" s="3" t="s">
        <v>14</v>
      </c>
      <c r="BB40" s="2" t="s">
        <v>686</v>
      </c>
      <c r="BC40" s="2">
        <v>194.452</v>
      </c>
      <c r="BE40" s="3" t="s">
        <v>14</v>
      </c>
      <c r="BF40" s="3" t="s">
        <v>726</v>
      </c>
      <c r="BG40" s="2">
        <v>199.03800000000001</v>
      </c>
      <c r="BI40" s="3" t="s">
        <v>14</v>
      </c>
      <c r="BJ40" s="3" t="s">
        <v>767</v>
      </c>
      <c r="BK40" s="2">
        <v>197.53100000000001</v>
      </c>
      <c r="BM40" s="3" t="s">
        <v>14</v>
      </c>
      <c r="BN40" s="3" t="s">
        <v>807</v>
      </c>
      <c r="BO40" s="2">
        <v>259.79599999999999</v>
      </c>
      <c r="BQ40" s="3" t="s">
        <v>14</v>
      </c>
      <c r="BR40" s="3" t="s">
        <v>847</v>
      </c>
      <c r="BS40" s="3" t="s">
        <v>855</v>
      </c>
      <c r="BU40" s="3" t="s">
        <v>14</v>
      </c>
      <c r="BV40" s="3" t="s">
        <v>887</v>
      </c>
      <c r="BW40" s="3">
        <v>3997.31</v>
      </c>
    </row>
    <row r="41" spans="1:75" x14ac:dyDescent="0.4">
      <c r="A41" s="3" t="s">
        <v>22</v>
      </c>
      <c r="D41" s="2">
        <v>38.703899999999997</v>
      </c>
      <c r="F41" s="3" t="s">
        <v>102</v>
      </c>
      <c r="I41" s="2">
        <v>193.97399999999999</v>
      </c>
      <c r="K41" s="3" t="s">
        <v>182</v>
      </c>
      <c r="N41" s="2">
        <v>393.303</v>
      </c>
      <c r="P41" s="3" t="s">
        <v>265</v>
      </c>
      <c r="S41" s="2">
        <v>1023.78</v>
      </c>
      <c r="U41" s="3" t="s">
        <v>345</v>
      </c>
      <c r="X41" s="2">
        <v>1968.67</v>
      </c>
      <c r="Z41" s="3" t="s">
        <v>425</v>
      </c>
      <c r="AC41" s="2">
        <v>2935.27</v>
      </c>
      <c r="AE41" s="3" t="s">
        <v>507</v>
      </c>
      <c r="AH41" s="2">
        <v>3906.47</v>
      </c>
      <c r="AJ41" s="3" t="s">
        <v>587</v>
      </c>
      <c r="AM41" s="2">
        <v>7793.38</v>
      </c>
      <c r="AO41" s="3" t="s">
        <v>664</v>
      </c>
      <c r="AQ41" s="3">
        <v>19.954899999999999</v>
      </c>
      <c r="AR41" s="3">
        <v>100.53700000000001</v>
      </c>
      <c r="AS41" s="3">
        <v>195.858</v>
      </c>
      <c r="AT41" s="3">
        <v>491.02199999999999</v>
      </c>
      <c r="AU41" s="3">
        <v>1062.1400000000001</v>
      </c>
      <c r="AV41" s="3">
        <v>1491.24</v>
      </c>
      <c r="AW41" s="3">
        <v>1979.24</v>
      </c>
      <c r="AX41" s="3">
        <v>3973.89</v>
      </c>
      <c r="BA41" s="3" t="s">
        <v>16</v>
      </c>
      <c r="BB41" s="2" t="s">
        <v>687</v>
      </c>
      <c r="BC41" s="2">
        <v>195.14400000000001</v>
      </c>
      <c r="BE41" s="3" t="s">
        <v>16</v>
      </c>
      <c r="BF41" s="3" t="s">
        <v>727</v>
      </c>
      <c r="BG41" s="2">
        <v>202.91300000000001</v>
      </c>
      <c r="BI41" s="3" t="s">
        <v>16</v>
      </c>
      <c r="BJ41" s="3" t="s">
        <v>768</v>
      </c>
      <c r="BK41" s="2">
        <v>199.011</v>
      </c>
      <c r="BM41" s="3" t="s">
        <v>16</v>
      </c>
      <c r="BN41" s="3" t="s">
        <v>808</v>
      </c>
      <c r="BO41" s="2">
        <v>262.005</v>
      </c>
      <c r="BQ41" s="3" t="s">
        <v>16</v>
      </c>
      <c r="BR41" s="3" t="s">
        <v>848</v>
      </c>
      <c r="BS41" s="3" t="s">
        <v>857</v>
      </c>
      <c r="BU41" s="3" t="s">
        <v>16</v>
      </c>
      <c r="BV41" s="3" t="s">
        <v>888</v>
      </c>
      <c r="BW41" s="3">
        <v>3926.58</v>
      </c>
    </row>
    <row r="42" spans="1:75" x14ac:dyDescent="0.4">
      <c r="A42" s="3" t="s">
        <v>12</v>
      </c>
      <c r="B42" s="3" t="s">
        <v>23</v>
      </c>
      <c r="D42" s="2">
        <v>38.692</v>
      </c>
      <c r="F42" s="3" t="s">
        <v>12</v>
      </c>
      <c r="G42" s="3" t="s">
        <v>103</v>
      </c>
      <c r="I42" s="2">
        <v>227.584</v>
      </c>
      <c r="K42" s="3" t="s">
        <v>12</v>
      </c>
      <c r="L42" s="3" t="s">
        <v>183</v>
      </c>
      <c r="N42" s="2">
        <v>398.22</v>
      </c>
      <c r="P42" s="3" t="s">
        <v>12</v>
      </c>
      <c r="Q42" s="3" t="s">
        <v>266</v>
      </c>
      <c r="S42" s="2">
        <v>988.98800000000006</v>
      </c>
      <c r="U42" s="3" t="s">
        <v>12</v>
      </c>
      <c r="V42" s="3" t="s">
        <v>346</v>
      </c>
      <c r="X42" s="2">
        <v>2037.35</v>
      </c>
      <c r="Z42" s="3" t="s">
        <v>12</v>
      </c>
      <c r="AA42" s="3" t="s">
        <v>426</v>
      </c>
      <c r="AC42" s="2">
        <v>2951.25</v>
      </c>
      <c r="AE42" s="3" t="s">
        <v>12</v>
      </c>
      <c r="AF42" s="3" t="s">
        <v>508</v>
      </c>
      <c r="AH42" s="2">
        <v>3971.54</v>
      </c>
      <c r="AJ42" s="3" t="s">
        <v>12</v>
      </c>
      <c r="AK42" s="3" t="s">
        <v>588</v>
      </c>
      <c r="AM42" s="2">
        <v>7826.82</v>
      </c>
      <c r="AO42" s="3" t="s">
        <v>665</v>
      </c>
      <c r="AQ42" s="3">
        <v>19.8309</v>
      </c>
      <c r="AR42" s="3">
        <v>98.485900000000001</v>
      </c>
      <c r="AS42" s="3">
        <v>196.61699999999999</v>
      </c>
      <c r="AT42" s="3">
        <v>486.61700000000002</v>
      </c>
      <c r="AU42" s="3">
        <v>988.01800000000003</v>
      </c>
      <c r="AV42" s="3">
        <v>1525.14</v>
      </c>
      <c r="AW42" s="3">
        <v>1971.32</v>
      </c>
      <c r="AX42" s="3">
        <v>3975.55</v>
      </c>
      <c r="BA42" s="3" t="s">
        <v>14</v>
      </c>
      <c r="BB42" s="2" t="s">
        <v>688</v>
      </c>
      <c r="BC42" s="2">
        <v>198.90299999999999</v>
      </c>
      <c r="BE42" s="3" t="s">
        <v>14</v>
      </c>
      <c r="BF42" s="3" t="s">
        <v>728</v>
      </c>
      <c r="BG42" s="2">
        <v>204.67500000000001</v>
      </c>
      <c r="BI42" s="3" t="s">
        <v>14</v>
      </c>
      <c r="BJ42" s="3" t="s">
        <v>769</v>
      </c>
      <c r="BK42" s="2">
        <v>199.929</v>
      </c>
      <c r="BM42" s="3" t="s">
        <v>14</v>
      </c>
      <c r="BN42" s="3" t="s">
        <v>809</v>
      </c>
      <c r="BO42" s="2">
        <v>250.649</v>
      </c>
      <c r="BQ42" s="3" t="s">
        <v>14</v>
      </c>
      <c r="BR42" s="3" t="s">
        <v>849</v>
      </c>
      <c r="BS42" s="3" t="s">
        <v>859</v>
      </c>
      <c r="BU42" s="3" t="s">
        <v>14</v>
      </c>
      <c r="BV42" s="3" t="s">
        <v>889</v>
      </c>
      <c r="BW42" s="3">
        <v>3870.94</v>
      </c>
    </row>
    <row r="43" spans="1:75" x14ac:dyDescent="0.4">
      <c r="A43" s="3" t="s">
        <v>14</v>
      </c>
      <c r="B43" s="3" t="s">
        <v>24</v>
      </c>
      <c r="D43" s="2">
        <v>41.622900000000001</v>
      </c>
      <c r="F43" s="3" t="s">
        <v>14</v>
      </c>
      <c r="G43" s="3" t="s">
        <v>104</v>
      </c>
      <c r="I43" s="2">
        <v>194.94200000000001</v>
      </c>
      <c r="K43" s="3" t="s">
        <v>14</v>
      </c>
      <c r="L43" s="3" t="s">
        <v>184</v>
      </c>
      <c r="N43" s="2">
        <v>400.76499999999999</v>
      </c>
      <c r="P43" s="3" t="s">
        <v>14</v>
      </c>
      <c r="Q43" s="3" t="s">
        <v>267</v>
      </c>
      <c r="S43" s="2">
        <v>980.05</v>
      </c>
      <c r="U43" s="3" t="s">
        <v>14</v>
      </c>
      <c r="V43" s="3" t="s">
        <v>347</v>
      </c>
      <c r="X43" s="2">
        <v>2090.7199999999998</v>
      </c>
      <c r="Z43" s="3" t="s">
        <v>14</v>
      </c>
      <c r="AA43" s="3" t="s">
        <v>427</v>
      </c>
      <c r="AC43" s="2">
        <v>2986.41</v>
      </c>
      <c r="AE43" s="3" t="s">
        <v>14</v>
      </c>
      <c r="AF43" s="3" t="s">
        <v>509</v>
      </c>
      <c r="AH43" s="2">
        <v>3994.8</v>
      </c>
      <c r="AJ43" s="3" t="s">
        <v>14</v>
      </c>
      <c r="AK43" s="3" t="s">
        <v>589</v>
      </c>
      <c r="AM43" s="2">
        <v>7787.34</v>
      </c>
      <c r="AO43" s="3" t="s">
        <v>666</v>
      </c>
      <c r="AQ43" s="3">
        <v>20.077000000000002</v>
      </c>
      <c r="AR43" s="3">
        <v>107.03400000000001</v>
      </c>
      <c r="AS43" s="3">
        <v>198.523</v>
      </c>
      <c r="AT43" s="3">
        <v>522.81500000000005</v>
      </c>
      <c r="AU43" s="3">
        <v>993.05399999999997</v>
      </c>
      <c r="AV43" s="3">
        <v>1503.49</v>
      </c>
      <c r="AW43" s="3">
        <v>2027.05</v>
      </c>
      <c r="AX43" s="3">
        <v>4012.24</v>
      </c>
      <c r="BA43" s="3" t="s">
        <v>16</v>
      </c>
      <c r="BB43" s="2" t="s">
        <v>689</v>
      </c>
      <c r="BC43" s="2">
        <v>193.92500000000001</v>
      </c>
      <c r="BE43" s="3" t="s">
        <v>16</v>
      </c>
      <c r="BF43" s="3" t="s">
        <v>729</v>
      </c>
      <c r="BG43" s="2">
        <v>200.30600000000001</v>
      </c>
      <c r="BI43" s="3" t="s">
        <v>16</v>
      </c>
      <c r="BJ43" s="3" t="s">
        <v>770</v>
      </c>
      <c r="BK43" s="2">
        <v>194.15600000000001</v>
      </c>
      <c r="BM43" s="3" t="s">
        <v>16</v>
      </c>
      <c r="BN43" s="3" t="s">
        <v>810</v>
      </c>
      <c r="BO43" s="2">
        <v>253.18700000000001</v>
      </c>
      <c r="BQ43" s="3" t="s">
        <v>16</v>
      </c>
      <c r="BR43" s="3" t="s">
        <v>850</v>
      </c>
      <c r="BS43" s="3" t="s">
        <v>861</v>
      </c>
      <c r="BU43" s="3" t="s">
        <v>16</v>
      </c>
      <c r="BV43" s="3" t="s">
        <v>890</v>
      </c>
      <c r="BW43" s="3">
        <v>3996.54</v>
      </c>
    </row>
    <row r="44" spans="1:75" x14ac:dyDescent="0.4">
      <c r="A44" s="3" t="s">
        <v>16</v>
      </c>
      <c r="B44" s="3" t="s">
        <v>25</v>
      </c>
      <c r="D44" s="2">
        <v>40.387900000000002</v>
      </c>
      <c r="F44" s="3" t="s">
        <v>16</v>
      </c>
      <c r="G44" s="3" t="s">
        <v>105</v>
      </c>
      <c r="I44" s="2">
        <v>204.28</v>
      </c>
      <c r="K44" s="3" t="s">
        <v>16</v>
      </c>
      <c r="L44" s="3" t="s">
        <v>185</v>
      </c>
      <c r="N44" s="2">
        <v>396.89299999999997</v>
      </c>
      <c r="P44" s="3" t="s">
        <v>16</v>
      </c>
      <c r="Q44" s="3" t="s">
        <v>268</v>
      </c>
      <c r="S44" s="2">
        <v>1008.88</v>
      </c>
      <c r="U44" s="3" t="s">
        <v>16</v>
      </c>
      <c r="V44" s="3" t="s">
        <v>348</v>
      </c>
      <c r="X44" s="2">
        <v>2005.57</v>
      </c>
      <c r="Z44" s="3" t="s">
        <v>16</v>
      </c>
      <c r="AA44" s="3" t="s">
        <v>428</v>
      </c>
      <c r="AC44" s="2">
        <v>2987.15</v>
      </c>
      <c r="AE44" s="3" t="s">
        <v>16</v>
      </c>
      <c r="AF44" s="3" t="s">
        <v>510</v>
      </c>
      <c r="AH44" s="2">
        <v>3941.48</v>
      </c>
      <c r="AJ44" s="3" t="s">
        <v>654</v>
      </c>
      <c r="AK44" s="3" t="s">
        <v>653</v>
      </c>
      <c r="AM44" s="2">
        <v>8054.15</v>
      </c>
      <c r="AO44" s="3" t="s">
        <v>667</v>
      </c>
      <c r="AQ44" s="3">
        <v>19.876999999999999</v>
      </c>
      <c r="AR44" s="3">
        <v>110.054</v>
      </c>
      <c r="AS44" s="3">
        <v>195.60400000000001</v>
      </c>
      <c r="AT44" s="3">
        <v>497.95299999999997</v>
      </c>
      <c r="AU44" s="3">
        <v>985.02700000000004</v>
      </c>
      <c r="AV44" s="3">
        <v>1525.57</v>
      </c>
      <c r="AW44" s="3">
        <v>2000.08</v>
      </c>
      <c r="AX44" s="3">
        <v>3940.39</v>
      </c>
      <c r="BA44" s="3" t="s">
        <v>14</v>
      </c>
      <c r="BB44" s="2" t="s">
        <v>690</v>
      </c>
      <c r="BC44" s="2">
        <v>194.78200000000001</v>
      </c>
      <c r="BE44" s="3" t="s">
        <v>14</v>
      </c>
      <c r="BF44" s="3" t="s">
        <v>730</v>
      </c>
      <c r="BG44" s="2">
        <v>201.054</v>
      </c>
      <c r="BI44" s="3" t="s">
        <v>14</v>
      </c>
      <c r="BJ44" s="3" t="s">
        <v>771</v>
      </c>
      <c r="BK44" s="2">
        <v>218.79499999999999</v>
      </c>
      <c r="BM44" s="3" t="s">
        <v>14</v>
      </c>
      <c r="BN44" s="3" t="s">
        <v>811</v>
      </c>
      <c r="BO44" s="2">
        <v>261.21800000000002</v>
      </c>
      <c r="BQ44" s="3" t="s">
        <v>14</v>
      </c>
      <c r="BR44" s="3" t="s">
        <v>851</v>
      </c>
      <c r="BS44" s="3" t="s">
        <v>863</v>
      </c>
      <c r="BU44" s="3" t="s">
        <v>14</v>
      </c>
      <c r="BV44" s="3" t="s">
        <v>891</v>
      </c>
      <c r="BW44" s="3">
        <v>3867.62</v>
      </c>
    </row>
    <row r="45" spans="1:75" x14ac:dyDescent="0.4">
      <c r="D45" s="2">
        <v>39.779899999999998</v>
      </c>
      <c r="I45" s="2">
        <v>199.95699999999999</v>
      </c>
      <c r="N45" s="2">
        <v>394.48099999999999</v>
      </c>
      <c r="S45" s="2">
        <v>1054.44</v>
      </c>
      <c r="X45" s="2">
        <v>1979.02</v>
      </c>
      <c r="AC45" s="2">
        <v>3034.81</v>
      </c>
      <c r="AH45" s="2">
        <v>3957.36</v>
      </c>
      <c r="AM45" s="2">
        <v>7851.09</v>
      </c>
      <c r="AO45" s="3" t="s">
        <v>668</v>
      </c>
      <c r="AQ45" s="3">
        <v>20.155000000000001</v>
      </c>
      <c r="AR45" s="3">
        <v>96.794799999999995</v>
      </c>
      <c r="AS45" s="3">
        <v>195.16</v>
      </c>
      <c r="AT45" s="3">
        <v>491.67899999999997</v>
      </c>
      <c r="AU45" s="3">
        <v>1014.82</v>
      </c>
      <c r="AV45" s="3">
        <v>1496.04</v>
      </c>
      <c r="AW45" s="3">
        <v>1986.12</v>
      </c>
      <c r="AX45" s="3">
        <v>3948.22</v>
      </c>
      <c r="BA45" s="3" t="s">
        <v>16</v>
      </c>
      <c r="BB45" s="2" t="s">
        <v>691</v>
      </c>
      <c r="BC45" s="2">
        <v>195.304</v>
      </c>
      <c r="BE45" s="3" t="s">
        <v>16</v>
      </c>
      <c r="BF45" s="3" t="s">
        <v>731</v>
      </c>
      <c r="BG45" s="2">
        <v>197.62899999999999</v>
      </c>
      <c r="BI45" s="3" t="s">
        <v>16</v>
      </c>
      <c r="BJ45" s="3" t="s">
        <v>772</v>
      </c>
      <c r="BK45" s="2">
        <v>205.1</v>
      </c>
      <c r="BM45" s="3" t="s">
        <v>16</v>
      </c>
      <c r="BN45" s="3" t="s">
        <v>812</v>
      </c>
      <c r="BO45" s="2">
        <v>253.56200000000001</v>
      </c>
      <c r="BQ45" s="3" t="s">
        <v>16</v>
      </c>
      <c r="BR45" s="3" t="s">
        <v>852</v>
      </c>
      <c r="BS45" s="3" t="s">
        <v>865</v>
      </c>
      <c r="BU45" s="3" t="s">
        <v>16</v>
      </c>
      <c r="BV45" s="3" t="s">
        <v>892</v>
      </c>
      <c r="BW45" s="3">
        <v>3847.69</v>
      </c>
    </row>
    <row r="46" spans="1:75" x14ac:dyDescent="0.4">
      <c r="A46" s="3" t="s">
        <v>26</v>
      </c>
      <c r="D46" s="2">
        <v>39.0351</v>
      </c>
      <c r="F46" s="3" t="s">
        <v>106</v>
      </c>
      <c r="I46" s="2">
        <v>216.995</v>
      </c>
      <c r="K46" s="3" t="s">
        <v>186</v>
      </c>
      <c r="N46" s="2">
        <v>407.31</v>
      </c>
      <c r="P46" s="3" t="s">
        <v>269</v>
      </c>
      <c r="S46" s="2">
        <v>1007.97</v>
      </c>
      <c r="U46" s="3" t="s">
        <v>349</v>
      </c>
      <c r="X46" s="2">
        <v>2027.49</v>
      </c>
      <c r="Z46" s="3" t="s">
        <v>429</v>
      </c>
      <c r="AC46" s="2">
        <v>2925.18</v>
      </c>
      <c r="AE46" s="3" t="s">
        <v>511</v>
      </c>
      <c r="AH46" s="2">
        <v>3889.6</v>
      </c>
      <c r="AJ46" s="3" t="s">
        <v>590</v>
      </c>
      <c r="AM46" s="2">
        <v>7906.51</v>
      </c>
      <c r="AO46" s="3" t="s">
        <v>669</v>
      </c>
      <c r="AQ46" s="3">
        <v>20.156099999999999</v>
      </c>
      <c r="AR46" s="3">
        <v>96.439800000000005</v>
      </c>
      <c r="AS46" s="3">
        <v>196.71700000000001</v>
      </c>
      <c r="AT46" s="3">
        <v>491.23099999999999</v>
      </c>
      <c r="AU46" s="3">
        <v>986.43899999999996</v>
      </c>
      <c r="AV46" s="3">
        <v>1530.68</v>
      </c>
      <c r="AW46" s="3">
        <v>1988</v>
      </c>
      <c r="AX46" s="3">
        <v>3928.26</v>
      </c>
      <c r="BA46" s="3" t="s">
        <v>14</v>
      </c>
      <c r="BB46" s="2" t="s">
        <v>692</v>
      </c>
      <c r="BC46" s="2">
        <v>194.04</v>
      </c>
      <c r="BE46" s="3" t="s">
        <v>14</v>
      </c>
      <c r="BF46" s="3" t="s">
        <v>732</v>
      </c>
      <c r="BG46" s="2">
        <v>196.33699999999999</v>
      </c>
      <c r="BI46" s="3" t="s">
        <v>14</v>
      </c>
      <c r="BJ46" s="3" t="s">
        <v>773</v>
      </c>
      <c r="BK46" s="2">
        <v>196.14099999999999</v>
      </c>
      <c r="BM46" s="3" t="s">
        <v>14</v>
      </c>
      <c r="BN46" s="3" t="s">
        <v>813</v>
      </c>
      <c r="BO46" s="2">
        <v>252.084</v>
      </c>
      <c r="BQ46" s="3" t="s">
        <v>14</v>
      </c>
      <c r="BR46" s="3" t="s">
        <v>853</v>
      </c>
      <c r="BS46" s="3" t="s">
        <v>867</v>
      </c>
      <c r="BU46" s="3" t="s">
        <v>14</v>
      </c>
      <c r="BV46" s="3" t="s">
        <v>893</v>
      </c>
      <c r="BW46" s="3">
        <v>4310.79</v>
      </c>
    </row>
    <row r="47" spans="1:75" x14ac:dyDescent="0.4">
      <c r="A47" s="3" t="s">
        <v>12</v>
      </c>
      <c r="B47" s="3" t="s">
        <v>27</v>
      </c>
      <c r="D47" s="2">
        <v>40.079099999999997</v>
      </c>
      <c r="F47" s="3" t="s">
        <v>12</v>
      </c>
      <c r="G47" s="3" t="s">
        <v>107</v>
      </c>
      <c r="I47" s="2">
        <v>199.14400000000001</v>
      </c>
      <c r="K47" s="3" t="s">
        <v>12</v>
      </c>
      <c r="L47" s="3" t="s">
        <v>187</v>
      </c>
      <c r="N47" s="2">
        <v>416.49400000000003</v>
      </c>
      <c r="P47" s="3" t="s">
        <v>12</v>
      </c>
      <c r="Q47" s="3" t="s">
        <v>270</v>
      </c>
      <c r="S47" s="2">
        <v>1029.1400000000001</v>
      </c>
      <c r="U47" s="3" t="s">
        <v>12</v>
      </c>
      <c r="V47" s="3" t="s">
        <v>350</v>
      </c>
      <c r="X47" s="2">
        <v>1996.64</v>
      </c>
      <c r="Z47" s="3" t="s">
        <v>12</v>
      </c>
      <c r="AA47" s="3" t="s">
        <v>430</v>
      </c>
      <c r="AC47" s="2">
        <v>2969.04</v>
      </c>
      <c r="AE47" s="3" t="s">
        <v>12</v>
      </c>
      <c r="AF47" s="3" t="s">
        <v>512</v>
      </c>
      <c r="AH47" s="2">
        <v>3998.06</v>
      </c>
      <c r="AJ47" s="3" t="s">
        <v>12</v>
      </c>
      <c r="AK47" s="3" t="s">
        <v>591</v>
      </c>
      <c r="AM47" s="2">
        <v>7978.14</v>
      </c>
      <c r="AO47" s="3" t="s">
        <v>670</v>
      </c>
      <c r="AQ47" s="3">
        <v>20.288900000000002</v>
      </c>
      <c r="AR47" s="3">
        <v>97.944000000000003</v>
      </c>
      <c r="AS47" s="3">
        <v>199.577</v>
      </c>
      <c r="AT47" s="3">
        <v>511.96199999999999</v>
      </c>
      <c r="AU47" s="3">
        <v>985.95299999999997</v>
      </c>
      <c r="AV47" s="3">
        <v>1695.8</v>
      </c>
      <c r="AW47" s="3">
        <v>1989.25</v>
      </c>
      <c r="AX47" s="3">
        <v>3973.12</v>
      </c>
      <c r="BA47" s="3" t="s">
        <v>16</v>
      </c>
      <c r="BB47" s="2" t="s">
        <v>693</v>
      </c>
      <c r="BC47" s="2">
        <v>196.75299999999999</v>
      </c>
      <c r="BE47" s="3" t="s">
        <v>16</v>
      </c>
      <c r="BF47" s="3" t="s">
        <v>733</v>
      </c>
      <c r="BG47" s="2">
        <v>196.38800000000001</v>
      </c>
      <c r="BI47" s="3" t="s">
        <v>16</v>
      </c>
      <c r="BJ47" s="3" t="s">
        <v>774</v>
      </c>
      <c r="BK47" s="2">
        <v>209.66499999999999</v>
      </c>
      <c r="BM47" s="3" t="s">
        <v>16</v>
      </c>
      <c r="BN47" s="3" t="s">
        <v>814</v>
      </c>
      <c r="BO47" s="2">
        <v>247.59100000000001</v>
      </c>
      <c r="BQ47" s="3" t="s">
        <v>16</v>
      </c>
      <c r="BR47" s="3" t="s">
        <v>854</v>
      </c>
      <c r="BS47" s="3" t="s">
        <v>869</v>
      </c>
      <c r="BU47" s="3" t="s">
        <v>16</v>
      </c>
      <c r="BV47" s="3" t="s">
        <v>894</v>
      </c>
      <c r="BW47" s="3">
        <v>4045.2</v>
      </c>
    </row>
    <row r="48" spans="1:75" x14ac:dyDescent="0.4">
      <c r="A48" s="3" t="s">
        <v>14</v>
      </c>
      <c r="B48" s="3" t="s">
        <v>28</v>
      </c>
      <c r="D48" s="2">
        <v>39.519100000000002</v>
      </c>
      <c r="F48" s="3" t="s">
        <v>14</v>
      </c>
      <c r="G48" s="3" t="s">
        <v>108</v>
      </c>
      <c r="I48" s="2">
        <v>196.44200000000001</v>
      </c>
      <c r="K48" s="3" t="s">
        <v>14</v>
      </c>
      <c r="L48" s="3" t="s">
        <v>188</v>
      </c>
      <c r="N48" s="2">
        <v>394.60300000000001</v>
      </c>
      <c r="P48" s="3" t="s">
        <v>14</v>
      </c>
      <c r="Q48" s="3" t="s">
        <v>271</v>
      </c>
      <c r="S48" s="2">
        <v>983.31899999999996</v>
      </c>
      <c r="U48" s="3" t="s">
        <v>14</v>
      </c>
      <c r="V48" s="3" t="s">
        <v>351</v>
      </c>
      <c r="X48" s="2">
        <v>2000.76</v>
      </c>
      <c r="Z48" s="3" t="s">
        <v>14</v>
      </c>
      <c r="AA48" s="3" t="s">
        <v>431</v>
      </c>
      <c r="AC48" s="2">
        <v>2960.91</v>
      </c>
      <c r="AE48" s="3" t="s">
        <v>14</v>
      </c>
      <c r="AF48" s="3" t="s">
        <v>513</v>
      </c>
      <c r="AH48" s="2">
        <v>3922.75</v>
      </c>
      <c r="AJ48" s="3" t="s">
        <v>14</v>
      </c>
      <c r="AK48" s="3" t="s">
        <v>592</v>
      </c>
      <c r="AM48" s="2">
        <v>7942.12</v>
      </c>
      <c r="AO48" s="3" t="s">
        <v>671</v>
      </c>
      <c r="AQ48" s="3">
        <v>20.161899999999999</v>
      </c>
      <c r="AR48" s="3">
        <v>96.947900000000004</v>
      </c>
      <c r="AS48" s="3">
        <v>195.44</v>
      </c>
      <c r="AT48" s="3">
        <v>492.49</v>
      </c>
      <c r="AU48" s="3">
        <v>1020.47</v>
      </c>
      <c r="AV48" s="3">
        <v>1508.95</v>
      </c>
      <c r="AW48" s="3">
        <v>2004.1</v>
      </c>
      <c r="AX48" s="3">
        <v>4006.8</v>
      </c>
      <c r="BA48" s="3" t="s">
        <v>14</v>
      </c>
      <c r="BB48" s="2" t="s">
        <v>694</v>
      </c>
      <c r="BC48" s="2">
        <v>196.274</v>
      </c>
      <c r="BE48" s="3" t="s">
        <v>14</v>
      </c>
      <c r="BF48" s="3" t="s">
        <v>734</v>
      </c>
      <c r="BG48" s="2">
        <v>196.995</v>
      </c>
      <c r="BI48" s="3" t="s">
        <v>14</v>
      </c>
      <c r="BJ48" s="3" t="s">
        <v>775</v>
      </c>
      <c r="BK48" s="2">
        <v>219.88</v>
      </c>
      <c r="BM48" s="3" t="s">
        <v>14</v>
      </c>
      <c r="BN48" s="3" t="s">
        <v>815</v>
      </c>
      <c r="BO48" s="2">
        <v>247.227</v>
      </c>
      <c r="BQ48" s="3" t="s">
        <v>14</v>
      </c>
      <c r="BR48" s="3" t="s">
        <v>855</v>
      </c>
      <c r="BS48" s="3" t="s">
        <v>871</v>
      </c>
      <c r="BU48" s="3" t="s">
        <v>14</v>
      </c>
      <c r="BV48" s="3" t="s">
        <v>895</v>
      </c>
      <c r="BW48" s="3">
        <v>4068.57</v>
      </c>
    </row>
    <row r="49" spans="1:75" x14ac:dyDescent="0.4">
      <c r="A49" s="3" t="s">
        <v>16</v>
      </c>
      <c r="B49" s="3" t="s">
        <v>29</v>
      </c>
      <c r="D49" s="2">
        <v>43.482999999999997</v>
      </c>
      <c r="F49" s="3" t="s">
        <v>16</v>
      </c>
      <c r="G49" s="3" t="s">
        <v>109</v>
      </c>
      <c r="I49" s="2">
        <v>213.434</v>
      </c>
      <c r="K49" s="3" t="s">
        <v>16</v>
      </c>
      <c r="L49" s="3" t="s">
        <v>189</v>
      </c>
      <c r="N49" s="2">
        <v>407.96699999999998</v>
      </c>
      <c r="P49" s="3" t="s">
        <v>16</v>
      </c>
      <c r="Q49" s="3" t="s">
        <v>272</v>
      </c>
      <c r="S49" s="2">
        <v>1028.43</v>
      </c>
      <c r="U49" s="3" t="s">
        <v>16</v>
      </c>
      <c r="V49" s="3" t="s">
        <v>352</v>
      </c>
      <c r="X49" s="2">
        <v>1982.03</v>
      </c>
      <c r="Z49" s="3" t="s">
        <v>16</v>
      </c>
      <c r="AA49" s="3" t="s">
        <v>432</v>
      </c>
      <c r="AC49" s="2">
        <v>3011.48</v>
      </c>
      <c r="AE49" s="3" t="s">
        <v>16</v>
      </c>
      <c r="AF49" s="3" t="s">
        <v>514</v>
      </c>
      <c r="AH49" s="2">
        <v>3951.32</v>
      </c>
      <c r="AJ49" s="3" t="s">
        <v>16</v>
      </c>
      <c r="AK49" s="3" t="s">
        <v>593</v>
      </c>
      <c r="AM49" s="2">
        <v>8000.46</v>
      </c>
      <c r="AO49" s="3" t="s">
        <v>672</v>
      </c>
      <c r="AQ49" s="3">
        <v>21.867999999999999</v>
      </c>
      <c r="AR49" s="3">
        <v>97.381799999999998</v>
      </c>
      <c r="AS49" s="3">
        <v>205.9</v>
      </c>
      <c r="AT49" s="3">
        <v>506.35500000000002</v>
      </c>
      <c r="AU49" s="3">
        <v>975.78399999999999</v>
      </c>
      <c r="AV49" s="3">
        <v>1531.15</v>
      </c>
      <c r="AW49" s="3">
        <v>1980.53</v>
      </c>
      <c r="AX49" s="3">
        <v>3932.84</v>
      </c>
      <c r="BA49" s="3" t="s">
        <v>16</v>
      </c>
      <c r="BB49" s="2" t="s">
        <v>695</v>
      </c>
      <c r="BC49" s="2">
        <v>197.16200000000001</v>
      </c>
      <c r="BE49" s="3" t="s">
        <v>16</v>
      </c>
      <c r="BF49" s="3" t="s">
        <v>735</v>
      </c>
      <c r="BG49" s="2">
        <v>196.07499999999999</v>
      </c>
      <c r="BI49" s="3" t="s">
        <v>16</v>
      </c>
      <c r="BJ49" s="3" t="s">
        <v>776</v>
      </c>
      <c r="BK49" s="2">
        <v>198.68100000000001</v>
      </c>
      <c r="BM49" s="3" t="s">
        <v>16</v>
      </c>
      <c r="BN49" s="3" t="s">
        <v>816</v>
      </c>
      <c r="BO49" s="2">
        <v>247.96100000000001</v>
      </c>
      <c r="BQ49" s="3" t="s">
        <v>16</v>
      </c>
      <c r="BR49" s="3" t="s">
        <v>856</v>
      </c>
      <c r="BS49" s="3" t="s">
        <v>873</v>
      </c>
      <c r="BU49" s="3" t="s">
        <v>16</v>
      </c>
      <c r="BV49" s="3" t="s">
        <v>896</v>
      </c>
      <c r="BW49" s="3">
        <v>4028.17</v>
      </c>
    </row>
    <row r="50" spans="1:75" x14ac:dyDescent="0.4">
      <c r="D50" s="2">
        <v>39.118099999999998</v>
      </c>
      <c r="I50" s="2">
        <v>231.23599999999999</v>
      </c>
      <c r="N50" s="2">
        <v>396.17700000000002</v>
      </c>
      <c r="S50" s="2">
        <v>1035.5899999999999</v>
      </c>
      <c r="X50" s="2">
        <v>1949.5</v>
      </c>
      <c r="AC50" s="2">
        <v>2951.11</v>
      </c>
      <c r="AH50" s="2">
        <v>4019.31</v>
      </c>
      <c r="AM50" s="2">
        <v>8072.94</v>
      </c>
      <c r="AO50" s="3" t="s">
        <v>673</v>
      </c>
      <c r="AQ50" s="3">
        <v>20.208100000000002</v>
      </c>
      <c r="AR50" s="3">
        <v>98.671000000000006</v>
      </c>
      <c r="AS50" s="3">
        <v>197.524</v>
      </c>
      <c r="AT50" s="3">
        <v>493.23200000000003</v>
      </c>
      <c r="AU50" s="3">
        <v>1005.72</v>
      </c>
      <c r="AV50" s="3">
        <v>1535.46</v>
      </c>
      <c r="AW50" s="3">
        <v>1967.44</v>
      </c>
      <c r="AX50" s="3">
        <v>4001.31</v>
      </c>
      <c r="BA50" s="3" t="s">
        <v>14</v>
      </c>
      <c r="BB50" s="2" t="s">
        <v>696</v>
      </c>
      <c r="BC50" s="2">
        <v>199.893</v>
      </c>
      <c r="BE50" s="3" t="s">
        <v>14</v>
      </c>
      <c r="BF50" s="3" t="s">
        <v>736</v>
      </c>
      <c r="BG50" s="2">
        <v>196.23400000000001</v>
      </c>
      <c r="BI50" s="3" t="s">
        <v>14</v>
      </c>
      <c r="BJ50" s="3" t="s">
        <v>777</v>
      </c>
      <c r="BK50" s="2">
        <v>194.31100000000001</v>
      </c>
      <c r="BM50" s="3" t="s">
        <v>14</v>
      </c>
      <c r="BN50" s="3" t="s">
        <v>817</v>
      </c>
      <c r="BO50" s="2">
        <v>252.06</v>
      </c>
      <c r="BQ50" s="3" t="s">
        <v>14</v>
      </c>
      <c r="BR50" s="3" t="s">
        <v>857</v>
      </c>
      <c r="BS50" s="3" t="s">
        <v>875</v>
      </c>
      <c r="BU50" s="3" t="s">
        <v>14</v>
      </c>
      <c r="BV50" s="3" t="s">
        <v>897</v>
      </c>
      <c r="BW50" s="3">
        <v>4095.53</v>
      </c>
    </row>
    <row r="51" spans="1:75" x14ac:dyDescent="0.4">
      <c r="A51" s="3" t="s">
        <v>30</v>
      </c>
      <c r="D51" s="2">
        <v>39.618000000000002</v>
      </c>
      <c r="F51" s="3" t="s">
        <v>110</v>
      </c>
      <c r="I51" s="2">
        <v>199.54</v>
      </c>
      <c r="K51" s="3" t="s">
        <v>190</v>
      </c>
      <c r="N51" s="2">
        <v>450.61200000000002</v>
      </c>
      <c r="P51" s="3" t="s">
        <v>273</v>
      </c>
      <c r="S51" s="2">
        <v>993.19500000000005</v>
      </c>
      <c r="U51" s="3" t="s">
        <v>353</v>
      </c>
      <c r="X51" s="2">
        <v>1957.12</v>
      </c>
      <c r="Z51" s="3" t="s">
        <v>433</v>
      </c>
      <c r="AC51" s="2">
        <v>2921.78</v>
      </c>
      <c r="AE51" s="3" t="s">
        <v>515</v>
      </c>
      <c r="AH51" s="2">
        <v>3964.26</v>
      </c>
      <c r="AJ51" s="3" t="s">
        <v>594</v>
      </c>
      <c r="AM51" s="2">
        <v>7991.11</v>
      </c>
      <c r="AO51" s="3" t="s">
        <v>674</v>
      </c>
      <c r="AQ51" s="3">
        <v>20.1418</v>
      </c>
      <c r="AR51" s="3">
        <v>97.411900000000003</v>
      </c>
      <c r="AS51" s="3">
        <v>195.46199999999999</v>
      </c>
      <c r="AT51" s="3">
        <v>500.80799999999999</v>
      </c>
      <c r="AU51" s="3">
        <v>984.80700000000002</v>
      </c>
      <c r="AV51" s="3">
        <v>1510.83</v>
      </c>
      <c r="AW51" s="3">
        <v>2029.47</v>
      </c>
      <c r="AX51" s="3">
        <v>3991.84</v>
      </c>
      <c r="BA51" s="3" t="s">
        <v>16</v>
      </c>
      <c r="BB51" s="2" t="s">
        <v>697</v>
      </c>
      <c r="BC51" s="2">
        <v>194.53100000000001</v>
      </c>
      <c r="BE51" s="3" t="s">
        <v>16</v>
      </c>
      <c r="BF51" s="3" t="s">
        <v>737</v>
      </c>
      <c r="BG51" s="2">
        <v>195.27799999999999</v>
      </c>
      <c r="BI51" s="3" t="s">
        <v>16</v>
      </c>
      <c r="BJ51" s="3" t="s">
        <v>778</v>
      </c>
      <c r="BK51" s="2">
        <v>199.99299999999999</v>
      </c>
      <c r="BM51" s="3" t="s">
        <v>16</v>
      </c>
      <c r="BN51" s="3" t="s">
        <v>818</v>
      </c>
      <c r="BO51" s="2">
        <v>251.054</v>
      </c>
      <c r="BQ51" s="3" t="s">
        <v>16</v>
      </c>
      <c r="BR51" s="3" t="s">
        <v>858</v>
      </c>
      <c r="BS51" s="3" t="s">
        <v>877</v>
      </c>
      <c r="BU51" s="3" t="s">
        <v>16</v>
      </c>
      <c r="BV51" s="3" t="s">
        <v>898</v>
      </c>
      <c r="BW51" s="3">
        <v>3936.74</v>
      </c>
    </row>
    <row r="52" spans="1:75" x14ac:dyDescent="0.4">
      <c r="A52" s="3" t="s">
        <v>12</v>
      </c>
      <c r="B52" s="3" t="s">
        <v>31</v>
      </c>
      <c r="D52" s="4"/>
      <c r="F52" s="3" t="s">
        <v>12</v>
      </c>
      <c r="G52" s="3" t="s">
        <v>111</v>
      </c>
      <c r="I52" s="4"/>
      <c r="K52" s="3" t="s">
        <v>12</v>
      </c>
      <c r="L52" s="3" t="s">
        <v>191</v>
      </c>
      <c r="N52" s="4"/>
      <c r="P52" s="3" t="s">
        <v>12</v>
      </c>
      <c r="Q52" s="3" t="s">
        <v>274</v>
      </c>
      <c r="S52" s="4"/>
      <c r="U52" s="3" t="s">
        <v>12</v>
      </c>
      <c r="V52" s="3" t="s">
        <v>354</v>
      </c>
      <c r="X52" s="4"/>
      <c r="Z52" s="3" t="s">
        <v>12</v>
      </c>
      <c r="AA52" s="3" t="s">
        <v>434</v>
      </c>
      <c r="AC52" s="4"/>
      <c r="AE52" s="3" t="s">
        <v>12</v>
      </c>
      <c r="AF52" s="3" t="s">
        <v>516</v>
      </c>
      <c r="AH52" s="4"/>
      <c r="AJ52" s="3" t="s">
        <v>12</v>
      </c>
      <c r="AK52" s="3" t="s">
        <v>595</v>
      </c>
      <c r="AM52" s="2">
        <v>7878.76</v>
      </c>
      <c r="BA52" s="3" t="s">
        <v>14</v>
      </c>
      <c r="BB52" s="2" t="s">
        <v>698</v>
      </c>
      <c r="BC52" s="2">
        <v>201.357</v>
      </c>
      <c r="BE52" s="3" t="s">
        <v>14</v>
      </c>
      <c r="BF52" s="3" t="s">
        <v>738</v>
      </c>
      <c r="BG52" s="2">
        <v>219.023</v>
      </c>
      <c r="BI52" s="3" t="s">
        <v>14</v>
      </c>
      <c r="BJ52" s="3" t="s">
        <v>779</v>
      </c>
      <c r="BK52" s="2">
        <v>199.56299999999999</v>
      </c>
      <c r="BM52" s="3" t="s">
        <v>14</v>
      </c>
      <c r="BN52" s="3" t="s">
        <v>819</v>
      </c>
      <c r="BO52" s="2">
        <v>246.39500000000001</v>
      </c>
      <c r="BQ52" s="3" t="s">
        <v>14</v>
      </c>
      <c r="BR52" s="3" t="s">
        <v>859</v>
      </c>
      <c r="BU52" s="3" t="s">
        <v>14</v>
      </c>
      <c r="BV52" s="3" t="s">
        <v>899</v>
      </c>
    </row>
    <row r="53" spans="1:75" ht="27.75" x14ac:dyDescent="0.4">
      <c r="A53" s="3" t="s">
        <v>14</v>
      </c>
      <c r="B53" s="3" t="s">
        <v>32</v>
      </c>
      <c r="D53" s="2" t="s">
        <v>255</v>
      </c>
      <c r="F53" s="3" t="s">
        <v>14</v>
      </c>
      <c r="G53" s="3" t="s">
        <v>112</v>
      </c>
      <c r="I53" s="2" t="s">
        <v>255</v>
      </c>
      <c r="K53" s="3" t="s">
        <v>14</v>
      </c>
      <c r="L53" s="3" t="s">
        <v>192</v>
      </c>
      <c r="N53" s="2" t="s">
        <v>255</v>
      </c>
      <c r="P53" s="3" t="s">
        <v>14</v>
      </c>
      <c r="Q53" s="3" t="s">
        <v>275</v>
      </c>
      <c r="S53" s="2" t="s">
        <v>255</v>
      </c>
      <c r="U53" s="3" t="s">
        <v>14</v>
      </c>
      <c r="V53" s="3" t="s">
        <v>355</v>
      </c>
      <c r="X53" s="2" t="s">
        <v>255</v>
      </c>
      <c r="Z53" s="3" t="s">
        <v>14</v>
      </c>
      <c r="AA53" s="3" t="s">
        <v>435</v>
      </c>
      <c r="AC53" s="2" t="s">
        <v>255</v>
      </c>
      <c r="AE53" s="3" t="s">
        <v>14</v>
      </c>
      <c r="AF53" s="3" t="s">
        <v>517</v>
      </c>
      <c r="AH53" s="2" t="s">
        <v>255</v>
      </c>
      <c r="AJ53" s="3" t="s">
        <v>14</v>
      </c>
      <c r="AK53" s="3" t="s">
        <v>596</v>
      </c>
      <c r="AM53" s="4"/>
      <c r="BA53" s="3" t="s">
        <v>16</v>
      </c>
      <c r="BB53" s="2" t="s">
        <v>699</v>
      </c>
      <c r="BC53" s="2">
        <v>209.75899999999999</v>
      </c>
      <c r="BE53" s="3" t="s">
        <v>16</v>
      </c>
      <c r="BF53" s="3" t="s">
        <v>739</v>
      </c>
      <c r="BG53" s="2">
        <v>208.99799999999999</v>
      </c>
      <c r="BI53" s="3" t="s">
        <v>16</v>
      </c>
      <c r="BJ53" s="3" t="s">
        <v>780</v>
      </c>
      <c r="BK53" s="2">
        <v>195.054</v>
      </c>
      <c r="BM53" s="3" t="s">
        <v>16</v>
      </c>
      <c r="BN53" s="3" t="s">
        <v>820</v>
      </c>
      <c r="BO53" s="2">
        <v>249.76599999999999</v>
      </c>
      <c r="BQ53" s="3" t="s">
        <v>16</v>
      </c>
      <c r="BR53" s="3" t="s">
        <v>860</v>
      </c>
      <c r="BS53" s="3">
        <v>444.34899999999999</v>
      </c>
      <c r="BU53" s="3" t="s">
        <v>16</v>
      </c>
      <c r="BV53" s="3" t="s">
        <v>900</v>
      </c>
      <c r="BW53" s="3">
        <v>812.58799999999997</v>
      </c>
    </row>
    <row r="54" spans="1:75" ht="27.75" x14ac:dyDescent="0.4">
      <c r="A54" s="3" t="s">
        <v>16</v>
      </c>
      <c r="B54" s="3" t="s">
        <v>33</v>
      </c>
      <c r="D54" s="2">
        <v>18.9922</v>
      </c>
      <c r="F54" s="3" t="s">
        <v>16</v>
      </c>
      <c r="G54" s="3" t="s">
        <v>113</v>
      </c>
      <c r="I54" s="2">
        <v>95.588899999999995</v>
      </c>
      <c r="K54" s="3" t="s">
        <v>16</v>
      </c>
      <c r="L54" s="3" t="s">
        <v>193</v>
      </c>
      <c r="N54" s="2">
        <v>195.20400000000001</v>
      </c>
      <c r="P54" s="3" t="s">
        <v>16</v>
      </c>
      <c r="Q54" s="3" t="s">
        <v>276</v>
      </c>
      <c r="S54" s="2">
        <v>488.78800000000001</v>
      </c>
      <c r="U54" s="3" t="s">
        <v>16</v>
      </c>
      <c r="V54" s="3" t="s">
        <v>356</v>
      </c>
      <c r="X54" s="2">
        <v>971.40599999999995</v>
      </c>
      <c r="Z54" s="3" t="s">
        <v>16</v>
      </c>
      <c r="AA54" s="3" t="s">
        <v>436</v>
      </c>
      <c r="AC54" s="2">
        <v>1476.33</v>
      </c>
      <c r="AE54" s="3" t="s">
        <v>16</v>
      </c>
      <c r="AF54" s="3" t="s">
        <v>518</v>
      </c>
      <c r="AH54" s="2">
        <v>1878.27</v>
      </c>
      <c r="AJ54" s="3" t="s">
        <v>16</v>
      </c>
      <c r="AK54" s="3" t="s">
        <v>597</v>
      </c>
      <c r="AM54" s="2" t="s">
        <v>255</v>
      </c>
      <c r="BA54" s="3" t="s">
        <v>14</v>
      </c>
      <c r="BB54" s="4" t="s">
        <v>700</v>
      </c>
      <c r="BC54" s="4"/>
      <c r="BE54" s="3" t="s">
        <v>14</v>
      </c>
      <c r="BF54" s="3" t="s">
        <v>740</v>
      </c>
      <c r="BG54" s="4"/>
      <c r="BI54" s="3" t="s">
        <v>14</v>
      </c>
      <c r="BJ54" s="3" t="s">
        <v>781</v>
      </c>
      <c r="BK54" s="4"/>
      <c r="BM54" s="3" t="s">
        <v>14</v>
      </c>
      <c r="BN54" s="3" t="s">
        <v>821</v>
      </c>
      <c r="BO54" s="4"/>
      <c r="BQ54" s="3" t="s">
        <v>14</v>
      </c>
      <c r="BR54" s="3" t="s">
        <v>861</v>
      </c>
      <c r="BS54" s="3">
        <v>126.26600000000001</v>
      </c>
      <c r="BU54" s="3" t="s">
        <v>14</v>
      </c>
      <c r="BV54" s="3" t="s">
        <v>901</v>
      </c>
      <c r="BW54" s="3">
        <v>701.63699999999994</v>
      </c>
    </row>
    <row r="55" spans="1:75" x14ac:dyDescent="0.4">
      <c r="D55" s="2">
        <v>18.93</v>
      </c>
      <c r="I55" s="2">
        <v>95.809899999999999</v>
      </c>
      <c r="N55" s="2">
        <v>230.27500000000001</v>
      </c>
      <c r="S55" s="2">
        <v>495.99400000000003</v>
      </c>
      <c r="X55" s="2">
        <v>961.779</v>
      </c>
      <c r="AC55" s="2">
        <v>1434.87</v>
      </c>
      <c r="AH55" s="2">
        <v>1926.87</v>
      </c>
      <c r="AM55" s="2">
        <v>3821.98</v>
      </c>
      <c r="BA55" s="3" t="s">
        <v>16</v>
      </c>
      <c r="BB55" s="4" t="s">
        <v>701</v>
      </c>
      <c r="BC55" s="4"/>
      <c r="BE55" s="3" t="s">
        <v>16</v>
      </c>
      <c r="BF55" s="3" t="s">
        <v>741</v>
      </c>
      <c r="BG55" s="4"/>
      <c r="BI55" s="3" t="s">
        <v>16</v>
      </c>
      <c r="BJ55" s="3" t="s">
        <v>782</v>
      </c>
      <c r="BK55" s="4"/>
      <c r="BM55" s="3" t="s">
        <v>16</v>
      </c>
      <c r="BN55" s="3" t="s">
        <v>822</v>
      </c>
      <c r="BO55" s="4"/>
      <c r="BQ55" s="3" t="s">
        <v>16</v>
      </c>
      <c r="BR55" s="3" t="s">
        <v>862</v>
      </c>
      <c r="BS55" s="3">
        <v>128.25700000000001</v>
      </c>
      <c r="BU55" s="3" t="s">
        <v>16</v>
      </c>
      <c r="BV55" s="3" t="s">
        <v>902</v>
      </c>
      <c r="BW55" s="3">
        <v>546.69399999999996</v>
      </c>
    </row>
    <row r="56" spans="1:75" x14ac:dyDescent="0.4">
      <c r="A56" s="3" t="s">
        <v>34</v>
      </c>
      <c r="D56" s="2">
        <v>19.850000000000001</v>
      </c>
      <c r="F56" s="3" t="s">
        <v>114</v>
      </c>
      <c r="I56" s="2">
        <v>96.321799999999996</v>
      </c>
      <c r="K56" s="3" t="s">
        <v>194</v>
      </c>
      <c r="N56" s="2">
        <v>190.684</v>
      </c>
      <c r="P56" s="3" t="s">
        <v>277</v>
      </c>
      <c r="S56" s="2">
        <v>480.91300000000001</v>
      </c>
      <c r="U56" s="3" t="s">
        <v>357</v>
      </c>
      <c r="X56" s="2">
        <v>969.83399999999995</v>
      </c>
      <c r="Z56" s="3" t="s">
        <v>437</v>
      </c>
      <c r="AC56" s="2">
        <v>1426.42</v>
      </c>
      <c r="AE56" s="3" t="s">
        <v>519</v>
      </c>
      <c r="AH56" s="2">
        <v>1868.59</v>
      </c>
      <c r="AJ56" s="3" t="s">
        <v>598</v>
      </c>
      <c r="AM56" s="2">
        <v>3740.55</v>
      </c>
      <c r="BA56" s="3" t="s">
        <v>14</v>
      </c>
      <c r="BB56" s="4" t="s">
        <v>702</v>
      </c>
      <c r="BC56" s="4"/>
      <c r="BE56" s="3" t="s">
        <v>14</v>
      </c>
      <c r="BF56" s="3" t="s">
        <v>742</v>
      </c>
      <c r="BG56" s="4"/>
      <c r="BI56" s="3" t="s">
        <v>14</v>
      </c>
      <c r="BJ56" s="3" t="s">
        <v>783</v>
      </c>
      <c r="BK56" s="4"/>
      <c r="BM56" s="3" t="s">
        <v>14</v>
      </c>
      <c r="BN56" s="3" t="s">
        <v>823</v>
      </c>
      <c r="BO56" s="4"/>
      <c r="BQ56" s="3" t="s">
        <v>14</v>
      </c>
      <c r="BR56" s="3" t="s">
        <v>863</v>
      </c>
      <c r="BS56" s="3">
        <v>632.47799999999995</v>
      </c>
      <c r="BU56" s="3" t="s">
        <v>14</v>
      </c>
      <c r="BV56" s="3" t="s">
        <v>903</v>
      </c>
      <c r="BW56" s="3">
        <v>855.33600000000001</v>
      </c>
    </row>
    <row r="57" spans="1:75" ht="27.75" x14ac:dyDescent="0.4">
      <c r="A57" s="3" t="s">
        <v>12</v>
      </c>
      <c r="B57" s="3" t="s">
        <v>35</v>
      </c>
      <c r="D57" s="2">
        <v>20.214099999999998</v>
      </c>
      <c r="F57" s="3" t="s">
        <v>12</v>
      </c>
      <c r="G57" s="3" t="s">
        <v>115</v>
      </c>
      <c r="I57" s="2">
        <v>96.965999999999994</v>
      </c>
      <c r="K57" s="3" t="s">
        <v>12</v>
      </c>
      <c r="L57" s="3" t="s">
        <v>195</v>
      </c>
      <c r="N57" s="2">
        <v>193.52500000000001</v>
      </c>
      <c r="P57" s="3" t="s">
        <v>12</v>
      </c>
      <c r="Q57" s="3" t="s">
        <v>278</v>
      </c>
      <c r="S57" s="2">
        <v>473.48599999999999</v>
      </c>
      <c r="U57" s="3" t="s">
        <v>12</v>
      </c>
      <c r="V57" s="3" t="s">
        <v>358</v>
      </c>
      <c r="X57" s="2">
        <v>1136.6600000000001</v>
      </c>
      <c r="Z57" s="3" t="s">
        <v>12</v>
      </c>
      <c r="AA57" s="3" t="s">
        <v>438</v>
      </c>
      <c r="AC57" s="2">
        <v>1447.63</v>
      </c>
      <c r="AE57" s="3" t="s">
        <v>12</v>
      </c>
      <c r="AF57" s="3" t="s">
        <v>520</v>
      </c>
      <c r="AH57" s="2">
        <v>1880.87</v>
      </c>
      <c r="AJ57" s="3" t="s">
        <v>12</v>
      </c>
      <c r="AK57" s="3" t="s">
        <v>599</v>
      </c>
      <c r="AM57" s="2">
        <v>3778.61</v>
      </c>
      <c r="BA57" s="3" t="s">
        <v>16</v>
      </c>
      <c r="BB57" s="2" t="s">
        <v>703</v>
      </c>
      <c r="BC57" s="2" t="s">
        <v>256</v>
      </c>
      <c r="BE57" s="3" t="s">
        <v>16</v>
      </c>
      <c r="BF57" s="3" t="s">
        <v>743</v>
      </c>
      <c r="BG57" s="2" t="s">
        <v>256</v>
      </c>
      <c r="BI57" s="3" t="s">
        <v>16</v>
      </c>
      <c r="BJ57" s="3" t="s">
        <v>784</v>
      </c>
      <c r="BK57" s="2" t="s">
        <v>256</v>
      </c>
      <c r="BM57" s="3" t="s">
        <v>16</v>
      </c>
      <c r="BN57" s="3" t="s">
        <v>824</v>
      </c>
      <c r="BO57" s="2" t="s">
        <v>256</v>
      </c>
      <c r="BQ57" s="3" t="s">
        <v>16</v>
      </c>
      <c r="BR57" s="3" t="s">
        <v>864</v>
      </c>
      <c r="BS57" s="3">
        <v>90.466999999999999</v>
      </c>
      <c r="BU57" s="3" t="s">
        <v>16</v>
      </c>
      <c r="BV57" s="3" t="s">
        <v>904</v>
      </c>
      <c r="BW57" s="3">
        <v>700.81700000000001</v>
      </c>
    </row>
    <row r="58" spans="1:75" x14ac:dyDescent="0.4">
      <c r="A58" s="3" t="s">
        <v>14</v>
      </c>
      <c r="B58" s="3" t="s">
        <v>36</v>
      </c>
      <c r="D58" s="2">
        <v>18.995999999999999</v>
      </c>
      <c r="F58" s="3" t="s">
        <v>14</v>
      </c>
      <c r="G58" s="3" t="s">
        <v>116</v>
      </c>
      <c r="I58" s="2">
        <v>94.712999999999994</v>
      </c>
      <c r="K58" s="3" t="s">
        <v>14</v>
      </c>
      <c r="L58" s="3" t="s">
        <v>196</v>
      </c>
      <c r="N58" s="2">
        <v>189.45</v>
      </c>
      <c r="P58" s="3" t="s">
        <v>14</v>
      </c>
      <c r="Q58" s="3" t="s">
        <v>279</v>
      </c>
      <c r="S58" s="2">
        <v>492.608</v>
      </c>
      <c r="U58" s="3" t="s">
        <v>14</v>
      </c>
      <c r="V58" s="3" t="s">
        <v>359</v>
      </c>
      <c r="X58" s="2">
        <v>1005.69</v>
      </c>
      <c r="Z58" s="3" t="s">
        <v>14</v>
      </c>
      <c r="AA58" s="3" t="s">
        <v>439</v>
      </c>
      <c r="AC58" s="2">
        <v>1430.05</v>
      </c>
      <c r="AE58" s="3" t="s">
        <v>14</v>
      </c>
      <c r="AF58" s="3" t="s">
        <v>521</v>
      </c>
      <c r="AH58" s="2">
        <v>1876.48</v>
      </c>
      <c r="AJ58" s="3" t="s">
        <v>14</v>
      </c>
      <c r="AK58" s="3" t="s">
        <v>600</v>
      </c>
      <c r="AM58" s="2">
        <v>3825.45</v>
      </c>
      <c r="BA58" s="3" t="s">
        <v>14</v>
      </c>
      <c r="BB58" s="4" t="s">
        <v>704</v>
      </c>
      <c r="BC58" s="4"/>
      <c r="BE58" s="3" t="s">
        <v>14</v>
      </c>
      <c r="BF58" s="3" t="s">
        <v>744</v>
      </c>
      <c r="BG58" s="4"/>
      <c r="BI58" s="3" t="s">
        <v>14</v>
      </c>
      <c r="BJ58" s="3" t="s">
        <v>785</v>
      </c>
      <c r="BK58" s="4"/>
      <c r="BM58" s="3" t="s">
        <v>14</v>
      </c>
      <c r="BN58" s="3" t="s">
        <v>825</v>
      </c>
      <c r="BO58" s="4"/>
      <c r="BQ58" s="3" t="s">
        <v>14</v>
      </c>
      <c r="BR58" s="3" t="s">
        <v>865</v>
      </c>
      <c r="BS58" s="3">
        <v>205.821</v>
      </c>
      <c r="BU58" s="3" t="s">
        <v>14</v>
      </c>
      <c r="BV58" s="3" t="s">
        <v>905</v>
      </c>
      <c r="BW58" s="3">
        <v>495.983</v>
      </c>
    </row>
    <row r="59" spans="1:75" x14ac:dyDescent="0.4">
      <c r="A59" s="3" t="s">
        <v>16</v>
      </c>
      <c r="B59" s="3" t="s">
        <v>37</v>
      </c>
      <c r="D59" s="2">
        <v>18.843900000000001</v>
      </c>
      <c r="F59" s="3" t="s">
        <v>16</v>
      </c>
      <c r="G59" s="3" t="s">
        <v>117</v>
      </c>
      <c r="I59" s="2">
        <v>112.732</v>
      </c>
      <c r="K59" s="3" t="s">
        <v>16</v>
      </c>
      <c r="L59" s="3" t="s">
        <v>197</v>
      </c>
      <c r="N59" s="2">
        <v>195.17699999999999</v>
      </c>
      <c r="P59" s="3" t="s">
        <v>16</v>
      </c>
      <c r="Q59" s="3" t="s">
        <v>280</v>
      </c>
      <c r="S59" s="2">
        <v>488.27800000000002</v>
      </c>
      <c r="U59" s="3" t="s">
        <v>16</v>
      </c>
      <c r="V59" s="3" t="s">
        <v>360</v>
      </c>
      <c r="X59" s="2">
        <v>971.66499999999996</v>
      </c>
      <c r="Z59" s="3" t="s">
        <v>16</v>
      </c>
      <c r="AA59" s="3" t="s">
        <v>440</v>
      </c>
      <c r="AC59" s="2">
        <v>1408.5</v>
      </c>
      <c r="AE59" s="3" t="s">
        <v>16</v>
      </c>
      <c r="AF59" s="3" t="s">
        <v>522</v>
      </c>
      <c r="AH59" s="2">
        <v>1921.71</v>
      </c>
      <c r="AJ59" s="3" t="s">
        <v>16</v>
      </c>
      <c r="AK59" s="3" t="s">
        <v>601</v>
      </c>
      <c r="AM59" s="2">
        <v>3738.13</v>
      </c>
      <c r="BA59" s="3" t="s">
        <v>16</v>
      </c>
      <c r="BB59" s="2" t="s">
        <v>705</v>
      </c>
      <c r="BC59" s="2">
        <v>351.47699999999998</v>
      </c>
      <c r="BE59" s="3" t="s">
        <v>16</v>
      </c>
      <c r="BF59" s="3" t="s">
        <v>745</v>
      </c>
      <c r="BG59" s="2">
        <v>429.399</v>
      </c>
      <c r="BI59" s="3" t="s">
        <v>16</v>
      </c>
      <c r="BJ59" s="3" t="s">
        <v>786</v>
      </c>
      <c r="BK59" s="2">
        <v>401.88499999999999</v>
      </c>
      <c r="BM59" s="3" t="s">
        <v>16</v>
      </c>
      <c r="BN59" s="3" t="s">
        <v>826</v>
      </c>
      <c r="BO59" s="2">
        <v>129.351</v>
      </c>
      <c r="BQ59" s="3" t="s">
        <v>16</v>
      </c>
      <c r="BR59" s="3" t="s">
        <v>866</v>
      </c>
      <c r="BS59" s="3">
        <v>233.10900000000001</v>
      </c>
      <c r="BU59" s="3" t="s">
        <v>16</v>
      </c>
      <c r="BV59" s="3" t="s">
        <v>906</v>
      </c>
      <c r="BW59" s="3">
        <v>691.49400000000003</v>
      </c>
    </row>
    <row r="60" spans="1:75" x14ac:dyDescent="0.4">
      <c r="D60" s="2">
        <v>19.689800000000002</v>
      </c>
      <c r="I60" s="2">
        <v>94.929000000000002</v>
      </c>
      <c r="N60" s="2">
        <v>204.279</v>
      </c>
      <c r="S60" s="2">
        <v>485.39400000000001</v>
      </c>
      <c r="X60" s="2">
        <v>957.57600000000002</v>
      </c>
      <c r="AC60" s="2">
        <v>1417.43</v>
      </c>
      <c r="AH60" s="2">
        <v>1884.28</v>
      </c>
      <c r="AM60" s="2">
        <v>3854.41</v>
      </c>
      <c r="BA60" s="3" t="s">
        <v>14</v>
      </c>
      <c r="BB60" s="2" t="s">
        <v>706</v>
      </c>
      <c r="BC60" s="2">
        <v>117.447</v>
      </c>
      <c r="BE60" s="3" t="s">
        <v>14</v>
      </c>
      <c r="BF60" s="3" t="s">
        <v>746</v>
      </c>
      <c r="BG60" s="2">
        <v>82.37</v>
      </c>
      <c r="BI60" s="3" t="s">
        <v>14</v>
      </c>
      <c r="BJ60" s="3" t="s">
        <v>787</v>
      </c>
      <c r="BK60" s="2">
        <v>174.63900000000001</v>
      </c>
      <c r="BM60" s="3" t="s">
        <v>14</v>
      </c>
      <c r="BN60" s="3" t="s">
        <v>827</v>
      </c>
      <c r="BO60" s="2">
        <v>218.52500000000001</v>
      </c>
      <c r="BQ60" s="3" t="s">
        <v>14</v>
      </c>
      <c r="BR60" s="3" t="s">
        <v>867</v>
      </c>
      <c r="BS60" s="3">
        <v>331.13900000000001</v>
      </c>
      <c r="BU60" s="3" t="s">
        <v>14</v>
      </c>
      <c r="BV60" s="3" t="s">
        <v>907</v>
      </c>
      <c r="BW60" s="3">
        <v>729.23</v>
      </c>
    </row>
    <row r="61" spans="1:75" x14ac:dyDescent="0.4">
      <c r="A61" s="3" t="s">
        <v>38</v>
      </c>
      <c r="D61" s="2">
        <v>18.939</v>
      </c>
      <c r="F61" s="3" t="s">
        <v>118</v>
      </c>
      <c r="I61" s="2">
        <v>94.224900000000005</v>
      </c>
      <c r="K61" s="3" t="s">
        <v>198</v>
      </c>
      <c r="N61" s="2">
        <v>187.55699999999999</v>
      </c>
      <c r="P61" s="3" t="s">
        <v>281</v>
      </c>
      <c r="S61" s="2">
        <v>494.529</v>
      </c>
      <c r="U61" s="3" t="s">
        <v>361</v>
      </c>
      <c r="X61" s="2">
        <v>970.697</v>
      </c>
      <c r="Z61" s="3" t="s">
        <v>441</v>
      </c>
      <c r="AC61" s="2">
        <v>1421.42</v>
      </c>
      <c r="AE61" s="3" t="s">
        <v>523</v>
      </c>
      <c r="AH61" s="2">
        <v>1923.27</v>
      </c>
      <c r="AJ61" s="3" t="s">
        <v>602</v>
      </c>
      <c r="AM61" s="2">
        <v>3767.87</v>
      </c>
      <c r="BA61" s="3" t="s">
        <v>16</v>
      </c>
      <c r="BB61" s="2" t="s">
        <v>707</v>
      </c>
      <c r="BC61" s="2">
        <v>239.89</v>
      </c>
      <c r="BE61" s="3" t="s">
        <v>16</v>
      </c>
      <c r="BF61" s="3" t="s">
        <v>747</v>
      </c>
      <c r="BG61" s="2">
        <v>298.41899999999998</v>
      </c>
      <c r="BI61" s="3" t="s">
        <v>16</v>
      </c>
      <c r="BJ61" s="3" t="s">
        <v>788</v>
      </c>
      <c r="BK61" s="2">
        <v>301.17700000000002</v>
      </c>
      <c r="BM61" s="3" t="s">
        <v>16</v>
      </c>
      <c r="BN61" s="3" t="s">
        <v>828</v>
      </c>
      <c r="BO61" s="2">
        <v>52.881</v>
      </c>
      <c r="BQ61" s="3" t="s">
        <v>16</v>
      </c>
      <c r="BR61" s="3" t="s">
        <v>868</v>
      </c>
      <c r="BS61" s="3">
        <v>448.34199999999998</v>
      </c>
      <c r="BU61" s="3" t="s">
        <v>16</v>
      </c>
      <c r="BV61" s="3" t="s">
        <v>908</v>
      </c>
      <c r="BW61" s="3">
        <v>747.23</v>
      </c>
    </row>
    <row r="62" spans="1:75" x14ac:dyDescent="0.4">
      <c r="A62" s="3" t="s">
        <v>12</v>
      </c>
      <c r="B62" s="3" t="s">
        <v>39</v>
      </c>
      <c r="D62" s="2">
        <v>18.7669</v>
      </c>
      <c r="F62" s="3" t="s">
        <v>12</v>
      </c>
      <c r="G62" s="3" t="s">
        <v>119</v>
      </c>
      <c r="I62" s="2">
        <v>102.64400000000001</v>
      </c>
      <c r="K62" s="3" t="s">
        <v>12</v>
      </c>
      <c r="L62" s="3" t="s">
        <v>199</v>
      </c>
      <c r="N62" s="2">
        <v>197.75800000000001</v>
      </c>
      <c r="P62" s="3" t="s">
        <v>12</v>
      </c>
      <c r="Q62" s="3" t="s">
        <v>282</v>
      </c>
      <c r="S62" s="2">
        <v>480.68700000000001</v>
      </c>
      <c r="U62" s="3" t="s">
        <v>12</v>
      </c>
      <c r="V62" s="3" t="s">
        <v>362</v>
      </c>
      <c r="X62" s="2">
        <v>973.19299999999998</v>
      </c>
      <c r="Z62" s="3" t="s">
        <v>12</v>
      </c>
      <c r="AA62" s="3" t="s">
        <v>442</v>
      </c>
      <c r="AC62" s="2">
        <v>1413.39</v>
      </c>
      <c r="AE62" s="3" t="s">
        <v>12</v>
      </c>
      <c r="AF62" s="3" t="s">
        <v>524</v>
      </c>
      <c r="AH62" s="2">
        <v>1882.03</v>
      </c>
      <c r="AJ62" s="3" t="s">
        <v>12</v>
      </c>
      <c r="AK62" s="3" t="s">
        <v>603</v>
      </c>
      <c r="AM62" s="2">
        <v>3750.79</v>
      </c>
      <c r="BA62" s="3" t="s">
        <v>14</v>
      </c>
      <c r="BB62" s="2" t="s">
        <v>708</v>
      </c>
      <c r="BC62" s="2">
        <v>462.45699999999999</v>
      </c>
      <c r="BE62" s="3" t="s">
        <v>14</v>
      </c>
      <c r="BF62" s="3" t="s">
        <v>748</v>
      </c>
      <c r="BG62" s="2">
        <v>154.887</v>
      </c>
      <c r="BI62" s="3" t="s">
        <v>14</v>
      </c>
      <c r="BJ62" s="3" t="s">
        <v>789</v>
      </c>
      <c r="BK62" s="2">
        <v>317.84199999999998</v>
      </c>
      <c r="BM62" s="3" t="s">
        <v>14</v>
      </c>
      <c r="BN62" s="3" t="s">
        <v>829</v>
      </c>
      <c r="BO62" s="2">
        <v>325.16899999999998</v>
      </c>
      <c r="BQ62" s="3" t="s">
        <v>14</v>
      </c>
      <c r="BR62" s="3" t="s">
        <v>869</v>
      </c>
      <c r="BS62" s="3">
        <v>149.684</v>
      </c>
      <c r="BU62" s="3" t="s">
        <v>14</v>
      </c>
      <c r="BV62" s="3" t="s">
        <v>909</v>
      </c>
      <c r="BW62" s="3">
        <v>809.01</v>
      </c>
    </row>
    <row r="63" spans="1:75" x14ac:dyDescent="0.4">
      <c r="A63" s="3" t="s">
        <v>14</v>
      </c>
      <c r="B63" s="3" t="s">
        <v>40</v>
      </c>
      <c r="D63" s="2">
        <v>19.449000000000002</v>
      </c>
      <c r="F63" s="3" t="s">
        <v>14</v>
      </c>
      <c r="G63" s="3" t="s">
        <v>120</v>
      </c>
      <c r="I63" s="2">
        <v>95.540999999999997</v>
      </c>
      <c r="K63" s="3" t="s">
        <v>14</v>
      </c>
      <c r="L63" s="3" t="s">
        <v>200</v>
      </c>
      <c r="N63" s="2">
        <v>188.54599999999999</v>
      </c>
      <c r="P63" s="3" t="s">
        <v>14</v>
      </c>
      <c r="Q63" s="3" t="s">
        <v>283</v>
      </c>
      <c r="S63" s="2">
        <v>479.26400000000001</v>
      </c>
      <c r="U63" s="3" t="s">
        <v>14</v>
      </c>
      <c r="V63" s="3" t="s">
        <v>363</v>
      </c>
      <c r="X63" s="2">
        <v>978.154</v>
      </c>
      <c r="Z63" s="3" t="s">
        <v>14</v>
      </c>
      <c r="AA63" s="3" t="s">
        <v>443</v>
      </c>
      <c r="AC63" s="2">
        <v>1454.19</v>
      </c>
      <c r="AE63" s="3" t="s">
        <v>14</v>
      </c>
      <c r="AF63" s="3" t="s">
        <v>525</v>
      </c>
      <c r="AH63" s="2">
        <v>1924.24</v>
      </c>
      <c r="AJ63" s="3" t="s">
        <v>14</v>
      </c>
      <c r="AK63" s="3" t="s">
        <v>604</v>
      </c>
      <c r="AM63" s="2">
        <v>3805.53</v>
      </c>
      <c r="BA63" s="3" t="s">
        <v>16</v>
      </c>
      <c r="BB63" s="2" t="s">
        <v>709</v>
      </c>
      <c r="BC63" s="2">
        <v>285.28899999999999</v>
      </c>
      <c r="BE63" s="3" t="s">
        <v>16</v>
      </c>
      <c r="BF63" s="3" t="s">
        <v>749</v>
      </c>
      <c r="BG63" s="2">
        <v>169.96600000000001</v>
      </c>
      <c r="BI63" s="3" t="s">
        <v>16</v>
      </c>
      <c r="BJ63" s="3" t="s">
        <v>790</v>
      </c>
      <c r="BK63" s="2">
        <v>250.18100000000001</v>
      </c>
      <c r="BM63" s="3" t="s">
        <v>16</v>
      </c>
      <c r="BN63" s="3" t="s">
        <v>830</v>
      </c>
      <c r="BO63" s="2">
        <v>234.62899999999999</v>
      </c>
      <c r="BQ63" s="3" t="s">
        <v>16</v>
      </c>
      <c r="BR63" s="3" t="s">
        <v>870</v>
      </c>
      <c r="BS63" s="3">
        <v>221.24100000000001</v>
      </c>
      <c r="BU63" s="3" t="s">
        <v>16</v>
      </c>
      <c r="BV63" s="3" t="s">
        <v>910</v>
      </c>
      <c r="BW63" s="3">
        <v>724.41200000000003</v>
      </c>
    </row>
    <row r="64" spans="1:75" x14ac:dyDescent="0.4">
      <c r="A64" s="3" t="s">
        <v>16</v>
      </c>
      <c r="B64" s="3" t="s">
        <v>41</v>
      </c>
      <c r="D64" s="2">
        <v>18.859100000000002</v>
      </c>
      <c r="F64" s="3" t="s">
        <v>16</v>
      </c>
      <c r="G64" s="3" t="s">
        <v>121</v>
      </c>
      <c r="I64" s="2">
        <v>95.1631</v>
      </c>
      <c r="K64" s="3" t="s">
        <v>16</v>
      </c>
      <c r="L64" s="3" t="s">
        <v>201</v>
      </c>
      <c r="N64" s="2">
        <v>190.12700000000001</v>
      </c>
      <c r="P64" s="3" t="s">
        <v>16</v>
      </c>
      <c r="Q64" s="3" t="s">
        <v>284</v>
      </c>
      <c r="S64" s="2">
        <v>481.02800000000002</v>
      </c>
      <c r="U64" s="3" t="s">
        <v>16</v>
      </c>
      <c r="V64" s="3" t="s">
        <v>364</v>
      </c>
      <c r="X64" s="2">
        <v>946.32100000000003</v>
      </c>
      <c r="Z64" s="3" t="s">
        <v>16</v>
      </c>
      <c r="AA64" s="3" t="s">
        <v>444</v>
      </c>
      <c r="AC64" s="2">
        <v>1408.75</v>
      </c>
      <c r="AE64" s="3" t="s">
        <v>16</v>
      </c>
      <c r="AF64" s="3" t="s">
        <v>526</v>
      </c>
      <c r="AH64" s="2">
        <v>1870.97</v>
      </c>
      <c r="AJ64" s="3" t="s">
        <v>16</v>
      </c>
      <c r="AK64" s="3" t="s">
        <v>605</v>
      </c>
      <c r="AM64" s="2">
        <v>3793.06</v>
      </c>
      <c r="BA64" s="3" t="s">
        <v>14</v>
      </c>
      <c r="BB64" s="2" t="s">
        <v>710</v>
      </c>
      <c r="BC64" s="2">
        <v>111.333</v>
      </c>
      <c r="BE64" s="3" t="s">
        <v>14</v>
      </c>
      <c r="BF64" s="3" t="s">
        <v>750</v>
      </c>
      <c r="BG64" s="2">
        <v>77.480999999999995</v>
      </c>
      <c r="BI64" s="3" t="s">
        <v>14</v>
      </c>
      <c r="BJ64" s="3" t="s">
        <v>791</v>
      </c>
      <c r="BK64" s="2">
        <v>191.863</v>
      </c>
      <c r="BM64" s="3" t="s">
        <v>14</v>
      </c>
      <c r="BN64" s="3" t="s">
        <v>831</v>
      </c>
      <c r="BO64" s="2">
        <v>104.039</v>
      </c>
      <c r="BQ64" s="3" t="s">
        <v>14</v>
      </c>
      <c r="BR64" s="3" t="s">
        <v>871</v>
      </c>
      <c r="BS64" s="3">
        <v>118.851</v>
      </c>
      <c r="BU64" s="3" t="s">
        <v>14</v>
      </c>
      <c r="BV64" s="3" t="s">
        <v>911</v>
      </c>
      <c r="BW64" s="3">
        <v>844.54899999999998</v>
      </c>
    </row>
    <row r="65" spans="1:75" x14ac:dyDescent="0.4">
      <c r="D65" s="2">
        <v>23.107099999999999</v>
      </c>
      <c r="I65" s="2">
        <v>111.285</v>
      </c>
      <c r="N65" s="2">
        <v>189.25299999999999</v>
      </c>
      <c r="S65" s="2">
        <v>470.125</v>
      </c>
      <c r="X65" s="2">
        <v>946.56899999999996</v>
      </c>
      <c r="AC65" s="2">
        <v>1427.46</v>
      </c>
      <c r="AH65" s="2">
        <v>1952.09</v>
      </c>
      <c r="AM65" s="2">
        <v>3800.3</v>
      </c>
      <c r="BA65" s="3" t="s">
        <v>16</v>
      </c>
      <c r="BB65" s="2" t="s">
        <v>711</v>
      </c>
      <c r="BC65" s="2">
        <v>335.52300000000002</v>
      </c>
      <c r="BE65" s="3" t="s">
        <v>16</v>
      </c>
      <c r="BF65" s="3" t="s">
        <v>751</v>
      </c>
      <c r="BG65" s="2">
        <v>119.53700000000001</v>
      </c>
      <c r="BI65" s="3" t="s">
        <v>16</v>
      </c>
      <c r="BJ65" s="3" t="s">
        <v>792</v>
      </c>
      <c r="BK65" s="2">
        <v>255.88499999999999</v>
      </c>
      <c r="BM65" s="3" t="s">
        <v>16</v>
      </c>
      <c r="BN65" s="3" t="s">
        <v>832</v>
      </c>
      <c r="BO65" s="2">
        <v>133.77799999999999</v>
      </c>
      <c r="BQ65" s="3" t="s">
        <v>16</v>
      </c>
      <c r="BR65" s="3" t="s">
        <v>872</v>
      </c>
      <c r="BS65" s="3">
        <v>321.12400000000002</v>
      </c>
      <c r="BU65" s="3" t="s">
        <v>16</v>
      </c>
      <c r="BV65" s="3" t="s">
        <v>912</v>
      </c>
      <c r="BW65" s="3">
        <v>689.87099999999998</v>
      </c>
    </row>
    <row r="66" spans="1:75" x14ac:dyDescent="0.4">
      <c r="A66" s="3" t="s">
        <v>42</v>
      </c>
      <c r="D66" s="2">
        <v>21.1082</v>
      </c>
      <c r="F66" s="3" t="s">
        <v>122</v>
      </c>
      <c r="I66" s="2">
        <v>98.787999999999997</v>
      </c>
      <c r="K66" s="3" t="s">
        <v>202</v>
      </c>
      <c r="N66" s="2">
        <v>188.69</v>
      </c>
      <c r="P66" s="3" t="s">
        <v>285</v>
      </c>
      <c r="S66" s="2">
        <v>474.86799999999999</v>
      </c>
      <c r="U66" s="3" t="s">
        <v>365</v>
      </c>
      <c r="X66" s="2">
        <v>942.601</v>
      </c>
      <c r="Z66" s="3" t="s">
        <v>445</v>
      </c>
      <c r="AC66" s="2">
        <v>1410.82</v>
      </c>
      <c r="AE66" s="3" t="s">
        <v>527</v>
      </c>
      <c r="AH66" s="2">
        <v>1940.91</v>
      </c>
      <c r="AJ66" s="3" t="s">
        <v>606</v>
      </c>
      <c r="AM66" s="2">
        <v>3775.47</v>
      </c>
      <c r="BA66" s="3" t="s">
        <v>14</v>
      </c>
      <c r="BB66" s="2" t="s">
        <v>712</v>
      </c>
      <c r="BC66" s="2">
        <v>252.267</v>
      </c>
      <c r="BE66" s="3" t="s">
        <v>14</v>
      </c>
      <c r="BF66" s="3" t="s">
        <v>752</v>
      </c>
      <c r="BG66" s="2">
        <v>273.54599999999999</v>
      </c>
      <c r="BI66" s="3" t="s">
        <v>14</v>
      </c>
      <c r="BJ66" s="3" t="s">
        <v>793</v>
      </c>
      <c r="BK66" s="2">
        <v>168.66</v>
      </c>
      <c r="BM66" s="3" t="s">
        <v>14</v>
      </c>
      <c r="BN66" s="3" t="s">
        <v>833</v>
      </c>
      <c r="BO66" s="2">
        <v>271.68400000000003</v>
      </c>
      <c r="BQ66" s="3" t="s">
        <v>14</v>
      </c>
      <c r="BR66" s="3" t="s">
        <v>873</v>
      </c>
      <c r="BS66" s="3">
        <v>69.748900000000006</v>
      </c>
      <c r="BU66" s="3" t="s">
        <v>14</v>
      </c>
      <c r="BV66" s="3" t="s">
        <v>913</v>
      </c>
      <c r="BW66" s="3">
        <v>660.04200000000003</v>
      </c>
    </row>
    <row r="67" spans="1:75" x14ac:dyDescent="0.4">
      <c r="A67" s="3" t="s">
        <v>12</v>
      </c>
      <c r="B67" s="3" t="s">
        <v>43</v>
      </c>
      <c r="D67" s="2">
        <v>19.569900000000001</v>
      </c>
      <c r="F67" s="3" t="s">
        <v>12</v>
      </c>
      <c r="G67" s="3" t="s">
        <v>123</v>
      </c>
      <c r="I67" s="2">
        <v>94.7881</v>
      </c>
      <c r="K67" s="3" t="s">
        <v>12</v>
      </c>
      <c r="L67" s="3" t="s">
        <v>203</v>
      </c>
      <c r="N67" s="2">
        <v>194.779</v>
      </c>
      <c r="P67" s="3" t="s">
        <v>12</v>
      </c>
      <c r="Q67" s="3" t="s">
        <v>286</v>
      </c>
      <c r="S67" s="2">
        <v>479.18099999999998</v>
      </c>
      <c r="U67" s="3" t="s">
        <v>12</v>
      </c>
      <c r="V67" s="3" t="s">
        <v>366</v>
      </c>
      <c r="X67" s="2">
        <v>944.87699999999995</v>
      </c>
      <c r="Z67" s="3" t="s">
        <v>12</v>
      </c>
      <c r="AA67" s="3" t="s">
        <v>446</v>
      </c>
      <c r="AC67" s="2">
        <v>1412.85</v>
      </c>
      <c r="AE67" s="3" t="s">
        <v>12</v>
      </c>
      <c r="AF67" s="3" t="s">
        <v>528</v>
      </c>
      <c r="AH67" s="2">
        <v>1900.12</v>
      </c>
      <c r="AJ67" s="3" t="s">
        <v>12</v>
      </c>
      <c r="AK67" s="3" t="s">
        <v>607</v>
      </c>
      <c r="AM67" s="2">
        <v>3748.2</v>
      </c>
      <c r="BA67" s="3" t="s">
        <v>16</v>
      </c>
      <c r="BB67" s="2" t="s">
        <v>713</v>
      </c>
      <c r="BC67" s="2">
        <v>210.53399999999999</v>
      </c>
      <c r="BE67" s="3" t="s">
        <v>16</v>
      </c>
      <c r="BF67" s="3" t="s">
        <v>753</v>
      </c>
      <c r="BG67" s="2">
        <v>465.44200000000001</v>
      </c>
      <c r="BI67" s="3" t="s">
        <v>16</v>
      </c>
      <c r="BJ67" s="3" t="s">
        <v>794</v>
      </c>
      <c r="BK67" s="2">
        <v>308.96699999999998</v>
      </c>
      <c r="BM67" s="3" t="s">
        <v>16</v>
      </c>
      <c r="BN67" s="3" t="s">
        <v>834</v>
      </c>
      <c r="BO67" s="2">
        <v>145.15600000000001</v>
      </c>
      <c r="BQ67" s="3" t="s">
        <v>16</v>
      </c>
      <c r="BR67" s="3" t="s">
        <v>874</v>
      </c>
      <c r="BS67" s="3">
        <v>287.42899999999997</v>
      </c>
      <c r="BU67" s="3" t="s">
        <v>16</v>
      </c>
      <c r="BV67" s="3" t="s">
        <v>914</v>
      </c>
      <c r="BW67" s="3">
        <v>671.03399999999999</v>
      </c>
    </row>
    <row r="68" spans="1:75" x14ac:dyDescent="0.4">
      <c r="A68" s="3" t="s">
        <v>14</v>
      </c>
      <c r="B68" s="3" t="s">
        <v>44</v>
      </c>
      <c r="D68" s="2">
        <v>18.908000000000001</v>
      </c>
      <c r="F68" s="3" t="s">
        <v>14</v>
      </c>
      <c r="G68" s="3" t="s">
        <v>124</v>
      </c>
      <c r="I68" s="2">
        <v>103.715</v>
      </c>
      <c r="K68" s="3" t="s">
        <v>14</v>
      </c>
      <c r="L68" s="3" t="s">
        <v>204</v>
      </c>
      <c r="N68" s="2">
        <v>189.18700000000001</v>
      </c>
      <c r="P68" s="3" t="s">
        <v>14</v>
      </c>
      <c r="Q68" s="3" t="s">
        <v>287</v>
      </c>
      <c r="S68" s="2">
        <v>473.846</v>
      </c>
      <c r="U68" s="3" t="s">
        <v>14</v>
      </c>
      <c r="V68" s="3" t="s">
        <v>367</v>
      </c>
      <c r="X68" s="2">
        <v>937.43700000000001</v>
      </c>
      <c r="Z68" s="3" t="s">
        <v>14</v>
      </c>
      <c r="AA68" s="3" t="s">
        <v>447</v>
      </c>
      <c r="AC68" s="2">
        <v>1420.38</v>
      </c>
      <c r="AE68" s="3" t="s">
        <v>14</v>
      </c>
      <c r="AF68" s="3" t="s">
        <v>529</v>
      </c>
      <c r="AH68" s="2">
        <v>1909.86</v>
      </c>
      <c r="AJ68" s="3" t="s">
        <v>14</v>
      </c>
      <c r="AK68" s="3" t="s">
        <v>608</v>
      </c>
      <c r="AM68" s="2">
        <v>3847.71</v>
      </c>
      <c r="BA68" s="3" t="s">
        <v>14</v>
      </c>
      <c r="BB68" s="2" t="s">
        <v>714</v>
      </c>
      <c r="BC68" s="2">
        <v>220.68299999999999</v>
      </c>
      <c r="BE68" s="3" t="s">
        <v>14</v>
      </c>
      <c r="BF68" s="3" t="s">
        <v>754</v>
      </c>
      <c r="BG68" s="2">
        <v>386.44099999999997</v>
      </c>
      <c r="BI68" s="3" t="s">
        <v>14</v>
      </c>
      <c r="BJ68" s="3" t="s">
        <v>795</v>
      </c>
      <c r="BK68" s="2">
        <v>234.43299999999999</v>
      </c>
      <c r="BM68" s="3" t="s">
        <v>14</v>
      </c>
      <c r="BN68" s="3" t="s">
        <v>835</v>
      </c>
      <c r="BO68" s="2">
        <v>285.72399999999999</v>
      </c>
      <c r="BQ68" s="3" t="s">
        <v>14</v>
      </c>
      <c r="BR68" s="3" t="s">
        <v>875</v>
      </c>
      <c r="BS68" s="3">
        <v>162.02000000000001</v>
      </c>
      <c r="BU68" s="3" t="s">
        <v>14</v>
      </c>
      <c r="BV68" s="3" t="s">
        <v>915</v>
      </c>
      <c r="BW68" s="3">
        <v>590.83199999999999</v>
      </c>
    </row>
    <row r="69" spans="1:75" x14ac:dyDescent="0.4">
      <c r="A69" s="3" t="s">
        <v>16</v>
      </c>
      <c r="B69" s="3" t="s">
        <v>45</v>
      </c>
      <c r="D69" s="2">
        <v>18.850999999999999</v>
      </c>
      <c r="F69" s="3" t="s">
        <v>16</v>
      </c>
      <c r="G69" s="3" t="s">
        <v>125</v>
      </c>
      <c r="I69" s="2">
        <v>98.189099999999996</v>
      </c>
      <c r="K69" s="3" t="s">
        <v>16</v>
      </c>
      <c r="L69" s="3" t="s">
        <v>205</v>
      </c>
      <c r="N69" s="2">
        <v>201.48099999999999</v>
      </c>
      <c r="P69" s="3" t="s">
        <v>16</v>
      </c>
      <c r="Q69" s="3" t="s">
        <v>288</v>
      </c>
      <c r="S69" s="2">
        <v>497.57600000000002</v>
      </c>
      <c r="U69" s="3" t="s">
        <v>16</v>
      </c>
      <c r="V69" s="3" t="s">
        <v>368</v>
      </c>
      <c r="X69" s="2">
        <v>1006.48</v>
      </c>
      <c r="Z69" s="3" t="s">
        <v>16</v>
      </c>
      <c r="AA69" s="3" t="s">
        <v>448</v>
      </c>
      <c r="AC69" s="2">
        <v>1442.06</v>
      </c>
      <c r="AE69" s="3" t="s">
        <v>16</v>
      </c>
      <c r="AF69" s="3" t="s">
        <v>530</v>
      </c>
      <c r="AH69" s="2">
        <v>1883.46</v>
      </c>
      <c r="AJ69" s="3" t="s">
        <v>16</v>
      </c>
      <c r="AK69" s="3" t="s">
        <v>609</v>
      </c>
      <c r="AM69" s="2">
        <v>3834.72</v>
      </c>
      <c r="BA69" s="3" t="s">
        <v>16</v>
      </c>
      <c r="BB69" s="2" t="s">
        <v>715</v>
      </c>
      <c r="BC69" s="2">
        <v>306.17200000000003</v>
      </c>
      <c r="BE69" s="3" t="s">
        <v>16</v>
      </c>
      <c r="BF69" s="3" t="s">
        <v>755</v>
      </c>
      <c r="BG69" s="2">
        <v>62.161900000000003</v>
      </c>
      <c r="BI69" s="3" t="s">
        <v>16</v>
      </c>
      <c r="BJ69" s="3" t="s">
        <v>796</v>
      </c>
      <c r="BK69" s="2">
        <v>276.56</v>
      </c>
      <c r="BM69" s="3" t="s">
        <v>16</v>
      </c>
      <c r="BN69" s="3" t="s">
        <v>836</v>
      </c>
      <c r="BO69" s="2">
        <v>446.09199999999998</v>
      </c>
      <c r="BQ69" s="3" t="s">
        <v>16</v>
      </c>
      <c r="BR69" s="3" t="s">
        <v>876</v>
      </c>
      <c r="BS69" s="3">
        <v>69.555000000000007</v>
      </c>
      <c r="BU69" s="3" t="s">
        <v>16</v>
      </c>
      <c r="BV69" s="3" t="s">
        <v>916</v>
      </c>
      <c r="BW69" s="3">
        <v>857.48900000000003</v>
      </c>
    </row>
    <row r="70" spans="1:75" x14ac:dyDescent="0.4">
      <c r="D70" s="2">
        <v>18.964099999999998</v>
      </c>
      <c r="I70" s="2">
        <v>94.119100000000003</v>
      </c>
      <c r="N70" s="2">
        <v>204.505</v>
      </c>
      <c r="S70" s="2">
        <v>476.17700000000002</v>
      </c>
      <c r="X70" s="2">
        <v>947.79700000000003</v>
      </c>
      <c r="AC70" s="2">
        <v>1417.13</v>
      </c>
      <c r="AH70" s="2">
        <v>1875.99</v>
      </c>
      <c r="AM70" s="2">
        <v>3851.18</v>
      </c>
      <c r="BA70" s="3" t="s">
        <v>14</v>
      </c>
      <c r="BB70" s="2" t="s">
        <v>716</v>
      </c>
      <c r="BC70" s="2">
        <v>117.849</v>
      </c>
      <c r="BE70" s="3" t="s">
        <v>14</v>
      </c>
      <c r="BF70" s="3" t="s">
        <v>756</v>
      </c>
      <c r="BG70" s="2">
        <v>265.98700000000002</v>
      </c>
      <c r="BI70" s="3" t="s">
        <v>14</v>
      </c>
      <c r="BJ70" s="3" t="s">
        <v>797</v>
      </c>
      <c r="BK70" s="2">
        <v>386.529</v>
      </c>
      <c r="BM70" s="3" t="s">
        <v>14</v>
      </c>
      <c r="BN70" s="3" t="s">
        <v>837</v>
      </c>
      <c r="BO70" s="2">
        <v>152.893</v>
      </c>
      <c r="BQ70" s="3" t="s">
        <v>14</v>
      </c>
      <c r="BR70" s="3" t="s">
        <v>877</v>
      </c>
      <c r="BS70" s="3">
        <v>213.44900000000001</v>
      </c>
      <c r="BU70" s="3" t="s">
        <v>14</v>
      </c>
      <c r="BV70" s="3" t="s">
        <v>917</v>
      </c>
      <c r="BW70" s="3">
        <v>603.35699999999997</v>
      </c>
    </row>
    <row r="71" spans="1:75" x14ac:dyDescent="0.4">
      <c r="A71" s="3" t="s">
        <v>46</v>
      </c>
      <c r="D71" s="2">
        <v>19.3172</v>
      </c>
      <c r="F71" s="3" t="s">
        <v>126</v>
      </c>
      <c r="I71" s="2">
        <v>94.380899999999997</v>
      </c>
      <c r="K71" s="3" t="s">
        <v>206</v>
      </c>
      <c r="N71" s="2">
        <v>190.614</v>
      </c>
      <c r="P71" s="3" t="s">
        <v>289</v>
      </c>
      <c r="S71" s="2">
        <v>505.70400000000001</v>
      </c>
      <c r="U71" s="3" t="s">
        <v>369</v>
      </c>
      <c r="X71" s="2">
        <v>953.09199999999998</v>
      </c>
      <c r="Z71" s="3" t="s">
        <v>449</v>
      </c>
      <c r="AC71" s="2">
        <v>1408.69</v>
      </c>
      <c r="AE71" s="3" t="s">
        <v>531</v>
      </c>
      <c r="AH71" s="2">
        <v>1873.71</v>
      </c>
      <c r="AJ71" s="3" t="s">
        <v>610</v>
      </c>
      <c r="AM71" s="2">
        <v>3814.52</v>
      </c>
      <c r="BA71" s="3" t="s">
        <v>16</v>
      </c>
      <c r="BB71" s="2" t="s">
        <v>717</v>
      </c>
      <c r="BC71" s="2">
        <v>275.44099999999997</v>
      </c>
      <c r="BE71" s="3" t="s">
        <v>16</v>
      </c>
      <c r="BF71" s="3" t="s">
        <v>757</v>
      </c>
      <c r="BG71" s="2">
        <v>403.92</v>
      </c>
      <c r="BI71" s="3" t="s">
        <v>16</v>
      </c>
      <c r="BJ71" s="3" t="s">
        <v>798</v>
      </c>
      <c r="BK71" s="2">
        <v>103.042</v>
      </c>
      <c r="BM71" s="3" t="s">
        <v>16</v>
      </c>
      <c r="BN71" s="3" t="s">
        <v>838</v>
      </c>
      <c r="BO71" s="2">
        <v>332.971</v>
      </c>
      <c r="BQ71" s="3" t="s">
        <v>16</v>
      </c>
      <c r="BR71" s="3" t="s">
        <v>878</v>
      </c>
      <c r="BS71" s="3">
        <v>195.28200000000001</v>
      </c>
      <c r="BU71" s="3" t="s">
        <v>16</v>
      </c>
      <c r="BV71" s="3" t="s">
        <v>918</v>
      </c>
      <c r="BW71" s="3">
        <v>626.34</v>
      </c>
    </row>
    <row r="72" spans="1:75" x14ac:dyDescent="0.4">
      <c r="A72" s="3" t="s">
        <v>12</v>
      </c>
      <c r="B72" s="3" t="s">
        <v>47</v>
      </c>
      <c r="D72" s="2">
        <v>20.113900000000001</v>
      </c>
      <c r="F72" s="3" t="s">
        <v>12</v>
      </c>
      <c r="G72" s="3" t="s">
        <v>127</v>
      </c>
      <c r="I72" s="2">
        <v>105.40900000000001</v>
      </c>
      <c r="K72" s="3" t="s">
        <v>12</v>
      </c>
      <c r="L72" s="3" t="s">
        <v>207</v>
      </c>
      <c r="N72" s="2">
        <v>193.673</v>
      </c>
      <c r="P72" s="3" t="s">
        <v>12</v>
      </c>
      <c r="Q72" s="3" t="s">
        <v>290</v>
      </c>
      <c r="S72" s="2">
        <v>478.47399999999999</v>
      </c>
      <c r="U72" s="3" t="s">
        <v>12</v>
      </c>
      <c r="V72" s="3" t="s">
        <v>370</v>
      </c>
      <c r="X72" s="2">
        <v>948.36099999999999</v>
      </c>
      <c r="Z72" s="3" t="s">
        <v>12</v>
      </c>
      <c r="AA72" s="3" t="s">
        <v>450</v>
      </c>
      <c r="AC72" s="2">
        <v>1433.9</v>
      </c>
      <c r="AE72" s="3" t="s">
        <v>12</v>
      </c>
      <c r="AF72" s="3" t="s">
        <v>532</v>
      </c>
      <c r="AH72" s="2">
        <v>1908.74</v>
      </c>
      <c r="AJ72" s="3" t="s">
        <v>12</v>
      </c>
      <c r="AK72" s="3" t="s">
        <v>611</v>
      </c>
      <c r="AM72" s="2">
        <v>3781.21</v>
      </c>
      <c r="BB72" s="2"/>
      <c r="BC72" s="2">
        <v>222.04300000000001</v>
      </c>
      <c r="BG72" s="2">
        <v>140.11600000000001</v>
      </c>
      <c r="BK72" s="2">
        <v>228.84200000000001</v>
      </c>
      <c r="BO72" s="2">
        <v>385.71899999999999</v>
      </c>
      <c r="BS72" s="3">
        <v>343.22800000000001</v>
      </c>
      <c r="BW72" s="3">
        <v>565.18600000000004</v>
      </c>
    </row>
    <row r="73" spans="1:75" x14ac:dyDescent="0.4">
      <c r="A73" s="3" t="s">
        <v>14</v>
      </c>
      <c r="B73" s="3" t="s">
        <v>48</v>
      </c>
      <c r="D73" s="2">
        <v>18.7471</v>
      </c>
      <c r="F73" s="3" t="s">
        <v>14</v>
      </c>
      <c r="G73" s="3" t="s">
        <v>128</v>
      </c>
      <c r="I73" s="2">
        <v>94.556100000000001</v>
      </c>
      <c r="K73" s="3" t="s">
        <v>14</v>
      </c>
      <c r="L73" s="3" t="s">
        <v>208</v>
      </c>
      <c r="N73" s="2">
        <v>189.35300000000001</v>
      </c>
      <c r="P73" s="3" t="s">
        <v>14</v>
      </c>
      <c r="Q73" s="3" t="s">
        <v>291</v>
      </c>
      <c r="S73" s="2">
        <v>474.78300000000002</v>
      </c>
      <c r="U73" s="3" t="s">
        <v>14</v>
      </c>
      <c r="V73" s="3" t="s">
        <v>371</v>
      </c>
      <c r="X73" s="2">
        <v>962.62699999999995</v>
      </c>
      <c r="Z73" s="3" t="s">
        <v>14</v>
      </c>
      <c r="AA73" s="3" t="s">
        <v>451</v>
      </c>
      <c r="AC73" s="2">
        <v>1420.46</v>
      </c>
      <c r="AE73" s="3" t="s">
        <v>14</v>
      </c>
      <c r="AF73" s="3" t="s">
        <v>533</v>
      </c>
      <c r="AH73" s="2">
        <v>1887.31</v>
      </c>
      <c r="AJ73" s="3" t="s">
        <v>14</v>
      </c>
      <c r="AK73" s="3" t="s">
        <v>612</v>
      </c>
      <c r="AM73" s="2">
        <v>3872.33</v>
      </c>
      <c r="BB73" s="2"/>
      <c r="BC73" s="2">
        <v>448.74200000000002</v>
      </c>
      <c r="BG73" s="2">
        <v>462.04599999999999</v>
      </c>
      <c r="BK73" s="2">
        <v>409.32100000000003</v>
      </c>
      <c r="BO73" s="2">
        <v>185.18299999999999</v>
      </c>
    </row>
    <row r="74" spans="1:75" x14ac:dyDescent="0.4">
      <c r="A74" s="3" t="s">
        <v>16</v>
      </c>
      <c r="B74" s="3" t="s">
        <v>49</v>
      </c>
      <c r="D74" s="4"/>
      <c r="F74" s="3" t="s">
        <v>16</v>
      </c>
      <c r="G74" s="3" t="s">
        <v>129</v>
      </c>
      <c r="I74" s="4"/>
      <c r="K74" s="3" t="s">
        <v>16</v>
      </c>
      <c r="L74" s="3" t="s">
        <v>209</v>
      </c>
      <c r="N74" s="4"/>
      <c r="P74" s="3" t="s">
        <v>16</v>
      </c>
      <c r="Q74" s="3" t="s">
        <v>292</v>
      </c>
      <c r="S74" s="4"/>
      <c r="U74" s="3" t="s">
        <v>16</v>
      </c>
      <c r="V74" s="3" t="s">
        <v>372</v>
      </c>
      <c r="X74" s="4"/>
      <c r="Z74" s="3" t="s">
        <v>16</v>
      </c>
      <c r="AA74" s="3" t="s">
        <v>452</v>
      </c>
      <c r="AC74" s="4"/>
      <c r="AE74" s="3" t="s">
        <v>16</v>
      </c>
      <c r="AF74" s="3" t="s">
        <v>534</v>
      </c>
      <c r="AH74" s="4"/>
      <c r="AJ74" s="3" t="s">
        <v>16</v>
      </c>
      <c r="AK74" s="3" t="s">
        <v>613</v>
      </c>
      <c r="AM74" s="2">
        <v>3833.85</v>
      </c>
      <c r="BB74" s="2"/>
      <c r="BC74" s="2">
        <v>306.26799999999997</v>
      </c>
      <c r="BG74" s="2">
        <v>90.465100000000007</v>
      </c>
      <c r="BK74" s="2">
        <v>155.244</v>
      </c>
      <c r="BO74" s="2">
        <v>361.274</v>
      </c>
    </row>
    <row r="75" spans="1:75" ht="27.75" x14ac:dyDescent="0.4">
      <c r="D75" s="2" t="s">
        <v>256</v>
      </c>
      <c r="I75" s="2" t="s">
        <v>256</v>
      </c>
      <c r="N75" s="2" t="s">
        <v>256</v>
      </c>
      <c r="S75" s="2" t="s">
        <v>256</v>
      </c>
      <c r="X75" s="2" t="s">
        <v>256</v>
      </c>
      <c r="AC75" s="2" t="s">
        <v>256</v>
      </c>
      <c r="AH75" s="2" t="s">
        <v>256</v>
      </c>
      <c r="AM75" s="2">
        <v>3811.78</v>
      </c>
      <c r="BB75" s="2"/>
      <c r="BC75" s="2">
        <v>574.298</v>
      </c>
      <c r="BG75" s="2">
        <v>424.80399999999997</v>
      </c>
      <c r="BK75" s="2">
        <v>106.398</v>
      </c>
      <c r="BO75" s="2">
        <v>383.762</v>
      </c>
    </row>
    <row r="76" spans="1:75" x14ac:dyDescent="0.4">
      <c r="A76" s="3" t="s">
        <v>50</v>
      </c>
      <c r="D76" s="2">
        <v>34.734000000000002</v>
      </c>
      <c r="F76" s="3" t="s">
        <v>130</v>
      </c>
      <c r="I76" s="2">
        <v>98.164100000000005</v>
      </c>
      <c r="K76" s="3" t="s">
        <v>210</v>
      </c>
      <c r="N76" s="2">
        <v>280.24299999999999</v>
      </c>
      <c r="P76" s="3" t="s">
        <v>293</v>
      </c>
      <c r="S76" s="2">
        <v>590.20399999999995</v>
      </c>
      <c r="U76" s="3" t="s">
        <v>373</v>
      </c>
      <c r="X76" s="2">
        <v>1208.8699999999999</v>
      </c>
      <c r="Z76" s="3" t="s">
        <v>453</v>
      </c>
      <c r="AC76" s="2">
        <v>3074.11</v>
      </c>
      <c r="AE76" s="3" t="s">
        <v>535</v>
      </c>
      <c r="AH76" s="2">
        <v>1021.38</v>
      </c>
      <c r="AJ76" s="3" t="s">
        <v>614</v>
      </c>
      <c r="AM76" s="4"/>
      <c r="BB76" s="2"/>
      <c r="BC76" s="2">
        <v>336.06099999999998</v>
      </c>
      <c r="BG76" s="2">
        <v>215.863</v>
      </c>
      <c r="BK76" s="2">
        <v>336.57299999999998</v>
      </c>
      <c r="BO76" s="2">
        <v>184.63300000000001</v>
      </c>
    </row>
    <row r="77" spans="1:75" ht="27.75" x14ac:dyDescent="0.4">
      <c r="A77" s="3" t="s">
        <v>12</v>
      </c>
      <c r="B77" s="3" t="s">
        <v>51</v>
      </c>
      <c r="D77" s="2">
        <v>18.106000000000002</v>
      </c>
      <c r="F77" s="3" t="s">
        <v>12</v>
      </c>
      <c r="G77" s="3" t="s">
        <v>131</v>
      </c>
      <c r="I77" s="2">
        <v>34.321100000000001</v>
      </c>
      <c r="K77" s="3" t="s">
        <v>12</v>
      </c>
      <c r="L77" s="3" t="s">
        <v>211</v>
      </c>
      <c r="N77" s="2">
        <v>464.18799999999999</v>
      </c>
      <c r="P77" s="3" t="s">
        <v>12</v>
      </c>
      <c r="Q77" s="3" t="s">
        <v>294</v>
      </c>
      <c r="S77" s="2">
        <v>592.77099999999996</v>
      </c>
      <c r="U77" s="3" t="s">
        <v>12</v>
      </c>
      <c r="V77" s="3" t="s">
        <v>374</v>
      </c>
      <c r="X77" s="2">
        <v>486.34300000000002</v>
      </c>
      <c r="Z77" s="3" t="s">
        <v>12</v>
      </c>
      <c r="AA77" s="3" t="s">
        <v>454</v>
      </c>
      <c r="AC77" s="2">
        <v>505.233</v>
      </c>
      <c r="AE77" s="3" t="s">
        <v>12</v>
      </c>
      <c r="AF77" s="3" t="s">
        <v>536</v>
      </c>
      <c r="AH77" s="2">
        <v>2256.61</v>
      </c>
      <c r="AJ77" s="3" t="s">
        <v>12</v>
      </c>
      <c r="AK77" s="3" t="s">
        <v>615</v>
      </c>
      <c r="AM77" s="2" t="s">
        <v>256</v>
      </c>
      <c r="BB77" s="2"/>
      <c r="BC77" s="2">
        <v>147.49600000000001</v>
      </c>
      <c r="BG77" s="2">
        <v>639.85799999999995</v>
      </c>
      <c r="BK77" s="2">
        <v>143.44800000000001</v>
      </c>
      <c r="BO77" s="2">
        <v>311.84399999999999</v>
      </c>
    </row>
    <row r="78" spans="1:75" x14ac:dyDescent="0.4">
      <c r="A78" s="3" t="s">
        <v>14</v>
      </c>
      <c r="B78" s="3" t="s">
        <v>52</v>
      </c>
      <c r="D78" s="2">
        <v>34.667000000000002</v>
      </c>
      <c r="F78" s="3" t="s">
        <v>14</v>
      </c>
      <c r="G78" s="3" t="s">
        <v>132</v>
      </c>
      <c r="I78" s="2">
        <v>83.545000000000002</v>
      </c>
      <c r="K78" s="3" t="s">
        <v>14</v>
      </c>
      <c r="L78" s="3" t="s">
        <v>212</v>
      </c>
      <c r="N78" s="2">
        <v>320.41199999999998</v>
      </c>
      <c r="P78" s="3" t="s">
        <v>14</v>
      </c>
      <c r="Q78" s="3" t="s">
        <v>295</v>
      </c>
      <c r="S78" s="2">
        <v>903.23900000000003</v>
      </c>
      <c r="U78" s="3" t="s">
        <v>14</v>
      </c>
      <c r="V78" s="3" t="s">
        <v>375</v>
      </c>
      <c r="X78" s="2">
        <v>196.12799999999999</v>
      </c>
      <c r="Z78" s="3" t="s">
        <v>14</v>
      </c>
      <c r="AA78" s="3" t="s">
        <v>455</v>
      </c>
      <c r="AC78" s="2">
        <v>1710.02</v>
      </c>
      <c r="AE78" s="3" t="s">
        <v>14</v>
      </c>
      <c r="AF78" s="3" t="s">
        <v>537</v>
      </c>
      <c r="AH78" s="2">
        <v>1961.07</v>
      </c>
      <c r="AJ78" s="3" t="s">
        <v>14</v>
      </c>
      <c r="AK78" s="3" t="s">
        <v>616</v>
      </c>
      <c r="AM78" s="2">
        <v>7478.49</v>
      </c>
      <c r="BB78" s="2"/>
      <c r="BC78" s="2">
        <v>342.262</v>
      </c>
      <c r="BG78" s="2">
        <v>250.483</v>
      </c>
      <c r="BK78" s="2">
        <v>43.186900000000001</v>
      </c>
      <c r="BO78" s="2">
        <v>403.59699999999998</v>
      </c>
    </row>
    <row r="79" spans="1:75" x14ac:dyDescent="0.4">
      <c r="A79" s="3" t="s">
        <v>16</v>
      </c>
      <c r="B79" s="3" t="s">
        <v>53</v>
      </c>
      <c r="D79" s="2">
        <v>11.494899999999999</v>
      </c>
      <c r="F79" s="3" t="s">
        <v>16</v>
      </c>
      <c r="G79" s="3" t="s">
        <v>133</v>
      </c>
      <c r="I79" s="2">
        <v>118.956</v>
      </c>
      <c r="K79" s="3" t="s">
        <v>16</v>
      </c>
      <c r="L79" s="3" t="s">
        <v>213</v>
      </c>
      <c r="N79" s="2">
        <v>72.656199999999998</v>
      </c>
      <c r="P79" s="3" t="s">
        <v>16</v>
      </c>
      <c r="Q79" s="3" t="s">
        <v>296</v>
      </c>
      <c r="S79" s="2">
        <v>739.16</v>
      </c>
      <c r="U79" s="3" t="s">
        <v>16</v>
      </c>
      <c r="V79" s="3" t="s">
        <v>376</v>
      </c>
      <c r="X79" s="2">
        <v>1053.0899999999999</v>
      </c>
      <c r="Z79" s="3" t="s">
        <v>16</v>
      </c>
      <c r="AA79" s="3" t="s">
        <v>456</v>
      </c>
      <c r="AC79" s="2">
        <v>1580.52</v>
      </c>
      <c r="AE79" s="3" t="s">
        <v>16</v>
      </c>
      <c r="AF79" s="3" t="s">
        <v>538</v>
      </c>
      <c r="AH79" s="2">
        <v>450.39600000000002</v>
      </c>
      <c r="AJ79" s="3" t="s">
        <v>16</v>
      </c>
      <c r="AK79" s="3" t="s">
        <v>617</v>
      </c>
      <c r="AM79" s="2">
        <v>4742.92</v>
      </c>
    </row>
    <row r="80" spans="1:75" x14ac:dyDescent="0.4">
      <c r="D80" s="2">
        <v>29.0608</v>
      </c>
      <c r="I80" s="2">
        <v>84.558000000000007</v>
      </c>
      <c r="N80" s="2">
        <v>229.291</v>
      </c>
      <c r="S80" s="2">
        <v>763.67899999999997</v>
      </c>
      <c r="X80" s="2">
        <v>729.95500000000004</v>
      </c>
      <c r="AC80" s="2">
        <v>817.39599999999996</v>
      </c>
      <c r="AH80" s="2">
        <v>4793.57</v>
      </c>
      <c r="AM80" s="2">
        <v>1067.48</v>
      </c>
    </row>
    <row r="81" spans="1:39" x14ac:dyDescent="0.4">
      <c r="A81" s="3" t="s">
        <v>54</v>
      </c>
      <c r="D81" s="2">
        <v>21.401900000000001</v>
      </c>
      <c r="F81" s="3" t="s">
        <v>134</v>
      </c>
      <c r="I81" s="2">
        <v>127.742</v>
      </c>
      <c r="K81" s="3" t="s">
        <v>214</v>
      </c>
      <c r="N81" s="2">
        <v>246.15100000000001</v>
      </c>
      <c r="P81" s="3" t="s">
        <v>297</v>
      </c>
      <c r="S81" s="2">
        <v>165.995</v>
      </c>
      <c r="U81" s="3" t="s">
        <v>377</v>
      </c>
      <c r="X81" s="2">
        <v>399.07400000000001</v>
      </c>
      <c r="Z81" s="3" t="s">
        <v>457</v>
      </c>
      <c r="AC81" s="2">
        <v>2006.71</v>
      </c>
      <c r="AE81" s="3" t="s">
        <v>539</v>
      </c>
      <c r="AH81" s="2">
        <v>2517.96</v>
      </c>
      <c r="AJ81" s="3" t="s">
        <v>618</v>
      </c>
      <c r="AM81" s="2">
        <v>2409.62</v>
      </c>
    </row>
    <row r="82" spans="1:39" x14ac:dyDescent="0.4">
      <c r="A82" s="3" t="s">
        <v>12</v>
      </c>
      <c r="B82" s="3" t="s">
        <v>55</v>
      </c>
      <c r="D82" s="2">
        <v>23.091999999999999</v>
      </c>
      <c r="F82" s="3" t="s">
        <v>12</v>
      </c>
      <c r="G82" s="3" t="s">
        <v>135</v>
      </c>
      <c r="I82" s="2">
        <v>128.29499999999999</v>
      </c>
      <c r="K82" s="3" t="s">
        <v>12</v>
      </c>
      <c r="L82" s="3" t="s">
        <v>215</v>
      </c>
      <c r="N82" s="2">
        <v>35.642099999999999</v>
      </c>
      <c r="P82" s="3" t="s">
        <v>12</v>
      </c>
      <c r="Q82" s="3" t="s">
        <v>298</v>
      </c>
      <c r="S82" s="2">
        <v>739.99199999999996</v>
      </c>
      <c r="U82" s="3" t="s">
        <v>12</v>
      </c>
      <c r="V82" s="3" t="s">
        <v>378</v>
      </c>
      <c r="X82" s="2">
        <v>412.77800000000002</v>
      </c>
      <c r="Z82" s="3" t="s">
        <v>12</v>
      </c>
      <c r="AA82" s="3" t="s">
        <v>458</v>
      </c>
      <c r="AC82" s="2">
        <v>1212.05</v>
      </c>
      <c r="AE82" s="3" t="s">
        <v>12</v>
      </c>
      <c r="AF82" s="3" t="s">
        <v>540</v>
      </c>
      <c r="AH82" s="2">
        <v>5189.82</v>
      </c>
      <c r="AJ82" s="3" t="s">
        <v>12</v>
      </c>
      <c r="AK82" s="3" t="s">
        <v>619</v>
      </c>
      <c r="AM82" s="2">
        <v>4677.57</v>
      </c>
    </row>
    <row r="83" spans="1:39" x14ac:dyDescent="0.4">
      <c r="A83" s="3" t="s">
        <v>14</v>
      </c>
      <c r="B83" s="3" t="s">
        <v>56</v>
      </c>
      <c r="D83" s="2">
        <v>27.966000000000001</v>
      </c>
      <c r="F83" s="3" t="s">
        <v>14</v>
      </c>
      <c r="G83" s="3" t="s">
        <v>136</v>
      </c>
      <c r="I83" s="2">
        <v>75.519800000000004</v>
      </c>
      <c r="K83" s="3" t="s">
        <v>14</v>
      </c>
      <c r="L83" s="3" t="s">
        <v>216</v>
      </c>
      <c r="N83" s="2">
        <v>111.078</v>
      </c>
      <c r="P83" s="3" t="s">
        <v>14</v>
      </c>
      <c r="Q83" s="3" t="s">
        <v>299</v>
      </c>
      <c r="S83" s="2">
        <v>404.26900000000001</v>
      </c>
      <c r="U83" s="3" t="s">
        <v>14</v>
      </c>
      <c r="V83" s="3" t="s">
        <v>379</v>
      </c>
      <c r="X83" s="2">
        <v>1218.4100000000001</v>
      </c>
      <c r="Z83" s="3" t="s">
        <v>14</v>
      </c>
      <c r="AA83" s="3" t="s">
        <v>459</v>
      </c>
      <c r="AC83" s="2">
        <v>2620.91</v>
      </c>
      <c r="AE83" s="3" t="s">
        <v>14</v>
      </c>
      <c r="AF83" s="3" t="s">
        <v>541</v>
      </c>
      <c r="AH83" s="2">
        <v>2441.12</v>
      </c>
      <c r="AJ83" s="3" t="s">
        <v>14</v>
      </c>
      <c r="AK83" s="3" t="s">
        <v>620</v>
      </c>
      <c r="AM83" s="2">
        <v>6933.19</v>
      </c>
    </row>
    <row r="84" spans="1:39" x14ac:dyDescent="0.4">
      <c r="A84" s="3" t="s">
        <v>16</v>
      </c>
      <c r="B84" s="3" t="s">
        <v>57</v>
      </c>
      <c r="D84" s="2">
        <v>9.5589200000000005</v>
      </c>
      <c r="F84" s="3" t="s">
        <v>16</v>
      </c>
      <c r="G84" s="3" t="s">
        <v>137</v>
      </c>
      <c r="I84" s="2">
        <v>32.666899999999998</v>
      </c>
      <c r="K84" s="3" t="s">
        <v>16</v>
      </c>
      <c r="L84" s="3" t="s">
        <v>217</v>
      </c>
      <c r="N84" s="2">
        <v>52.0608</v>
      </c>
      <c r="P84" s="3" t="s">
        <v>16</v>
      </c>
      <c r="Q84" s="3" t="s">
        <v>300</v>
      </c>
      <c r="S84" s="2">
        <v>509.79</v>
      </c>
      <c r="U84" s="3" t="s">
        <v>16</v>
      </c>
      <c r="V84" s="3" t="s">
        <v>380</v>
      </c>
      <c r="X84" s="2">
        <v>1657.32</v>
      </c>
      <c r="Z84" s="3" t="s">
        <v>16</v>
      </c>
      <c r="AA84" s="3" t="s">
        <v>460</v>
      </c>
      <c r="AC84" s="2">
        <v>248.78399999999999</v>
      </c>
      <c r="AE84" s="3" t="s">
        <v>16</v>
      </c>
      <c r="AF84" s="3" t="s">
        <v>542</v>
      </c>
      <c r="AH84" s="2">
        <v>2969.76</v>
      </c>
      <c r="AJ84" s="3" t="s">
        <v>16</v>
      </c>
      <c r="AK84" s="3" t="s">
        <v>621</v>
      </c>
      <c r="AM84" s="2">
        <v>1591.27</v>
      </c>
    </row>
    <row r="85" spans="1:39" x14ac:dyDescent="0.4">
      <c r="D85" s="2">
        <v>6.9940100000000003</v>
      </c>
      <c r="I85" s="2">
        <v>89.1721</v>
      </c>
      <c r="N85" s="2">
        <v>201.72</v>
      </c>
      <c r="S85" s="2">
        <v>1114.07</v>
      </c>
      <c r="X85" s="2">
        <v>974.68100000000004</v>
      </c>
      <c r="AC85" s="2">
        <v>1801.74</v>
      </c>
      <c r="AH85" s="2">
        <v>1129.4100000000001</v>
      </c>
      <c r="AM85" s="2">
        <v>4723.43</v>
      </c>
    </row>
    <row r="86" spans="1:39" x14ac:dyDescent="0.4">
      <c r="A86" s="3" t="s">
        <v>58</v>
      </c>
      <c r="D86" s="2">
        <v>5.9819199999999997</v>
      </c>
      <c r="F86" s="3" t="s">
        <v>138</v>
      </c>
      <c r="I86" s="2">
        <v>207.25800000000001</v>
      </c>
      <c r="K86" s="3" t="s">
        <v>218</v>
      </c>
      <c r="N86" s="2">
        <v>165.02799999999999</v>
      </c>
      <c r="P86" s="3" t="s">
        <v>301</v>
      </c>
      <c r="S86" s="2">
        <v>701.65700000000004</v>
      </c>
      <c r="U86" s="3" t="s">
        <v>381</v>
      </c>
      <c r="X86" s="2">
        <v>920.29700000000003</v>
      </c>
      <c r="Z86" s="3" t="s">
        <v>461</v>
      </c>
      <c r="AC86" s="2">
        <v>801.14300000000003</v>
      </c>
      <c r="AE86" s="3" t="s">
        <v>543</v>
      </c>
      <c r="AH86" s="2">
        <v>2764.44</v>
      </c>
      <c r="AJ86" s="3" t="s">
        <v>622</v>
      </c>
      <c r="AM86" s="2">
        <v>523.59</v>
      </c>
    </row>
    <row r="87" spans="1:39" x14ac:dyDescent="0.4">
      <c r="A87" s="3" t="s">
        <v>12</v>
      </c>
      <c r="B87" s="3" t="s">
        <v>59</v>
      </c>
      <c r="D87" s="2">
        <v>37.0002</v>
      </c>
      <c r="F87" s="3" t="s">
        <v>12</v>
      </c>
      <c r="G87" s="3" t="s">
        <v>139</v>
      </c>
      <c r="I87" s="2">
        <v>91.587100000000007</v>
      </c>
      <c r="K87" s="3" t="s">
        <v>12</v>
      </c>
      <c r="L87" s="3" t="s">
        <v>219</v>
      </c>
      <c r="N87" s="2">
        <v>209.99100000000001</v>
      </c>
      <c r="P87" s="3" t="s">
        <v>12</v>
      </c>
      <c r="Q87" s="3" t="s">
        <v>302</v>
      </c>
      <c r="S87" s="2">
        <v>85.008899999999997</v>
      </c>
      <c r="U87" s="3" t="s">
        <v>12</v>
      </c>
      <c r="V87" s="3" t="s">
        <v>382</v>
      </c>
      <c r="X87" s="2">
        <v>413.40499999999997</v>
      </c>
      <c r="Z87" s="3" t="s">
        <v>12</v>
      </c>
      <c r="AA87" s="3" t="s">
        <v>462</v>
      </c>
      <c r="AC87" s="2">
        <v>2330.4899999999998</v>
      </c>
      <c r="AE87" s="3" t="s">
        <v>12</v>
      </c>
      <c r="AF87" s="3" t="s">
        <v>544</v>
      </c>
      <c r="AH87" s="2">
        <v>3665.93</v>
      </c>
      <c r="AJ87" s="3" t="s">
        <v>12</v>
      </c>
      <c r="AK87" s="3" t="s">
        <v>623</v>
      </c>
      <c r="AM87" s="2">
        <v>1735.59</v>
      </c>
    </row>
    <row r="88" spans="1:39" x14ac:dyDescent="0.4">
      <c r="A88" s="3" t="s">
        <v>14</v>
      </c>
      <c r="B88" s="3" t="s">
        <v>60</v>
      </c>
      <c r="D88" s="2">
        <v>4.3020199999999997</v>
      </c>
      <c r="F88" s="3" t="s">
        <v>14</v>
      </c>
      <c r="G88" s="3" t="s">
        <v>140</v>
      </c>
      <c r="I88" s="2">
        <v>124.39700000000001</v>
      </c>
      <c r="K88" s="3" t="s">
        <v>14</v>
      </c>
      <c r="L88" s="3" t="s">
        <v>220</v>
      </c>
      <c r="N88" s="2">
        <v>179.541</v>
      </c>
      <c r="P88" s="3" t="s">
        <v>14</v>
      </c>
      <c r="Q88" s="3" t="s">
        <v>303</v>
      </c>
      <c r="S88" s="2">
        <v>72.634</v>
      </c>
      <c r="U88" s="3" t="s">
        <v>14</v>
      </c>
      <c r="V88" s="3" t="s">
        <v>383</v>
      </c>
      <c r="X88" s="2">
        <v>284.49700000000001</v>
      </c>
      <c r="Z88" s="3" t="s">
        <v>14</v>
      </c>
      <c r="AA88" s="3" t="s">
        <v>463</v>
      </c>
      <c r="AC88" s="2">
        <v>2532.17</v>
      </c>
      <c r="AE88" s="3" t="s">
        <v>14</v>
      </c>
      <c r="AF88" s="3" t="s">
        <v>545</v>
      </c>
      <c r="AH88" s="2">
        <v>2454.02</v>
      </c>
      <c r="AJ88" s="3" t="s">
        <v>14</v>
      </c>
      <c r="AK88" s="3" t="s">
        <v>624</v>
      </c>
      <c r="AM88" s="2">
        <v>5088.13</v>
      </c>
    </row>
    <row r="89" spans="1:39" x14ac:dyDescent="0.4">
      <c r="A89" s="3" t="s">
        <v>16</v>
      </c>
      <c r="B89" s="3" t="s">
        <v>61</v>
      </c>
      <c r="D89" s="2">
        <v>2.72417</v>
      </c>
      <c r="F89" s="3" t="s">
        <v>16</v>
      </c>
      <c r="G89" s="3" t="s">
        <v>141</v>
      </c>
      <c r="I89" s="2">
        <v>154.267</v>
      </c>
      <c r="K89" s="3" t="s">
        <v>16</v>
      </c>
      <c r="L89" s="3" t="s">
        <v>221</v>
      </c>
      <c r="N89" s="2">
        <v>236.559</v>
      </c>
      <c r="P89" s="3" t="s">
        <v>16</v>
      </c>
      <c r="Q89" s="3" t="s">
        <v>304</v>
      </c>
      <c r="S89" s="2">
        <v>385.54300000000001</v>
      </c>
      <c r="U89" s="3" t="s">
        <v>16</v>
      </c>
      <c r="V89" s="3" t="s">
        <v>384</v>
      </c>
      <c r="X89" s="2">
        <v>1954.4</v>
      </c>
      <c r="Z89" s="3" t="s">
        <v>16</v>
      </c>
      <c r="AA89" s="3" t="s">
        <v>464</v>
      </c>
      <c r="AC89" s="2">
        <v>4830.12</v>
      </c>
      <c r="AE89" s="3" t="s">
        <v>16</v>
      </c>
      <c r="AF89" s="3" t="s">
        <v>546</v>
      </c>
      <c r="AH89" s="2">
        <v>2090.2199999999998</v>
      </c>
      <c r="AJ89" s="3" t="s">
        <v>16</v>
      </c>
      <c r="AK89" s="3" t="s">
        <v>625</v>
      </c>
      <c r="AM89" s="2">
        <v>5200.08</v>
      </c>
    </row>
    <row r="90" spans="1:39" x14ac:dyDescent="0.4">
      <c r="D90" s="2">
        <v>27.569099999999999</v>
      </c>
      <c r="I90" s="2">
        <v>127.44</v>
      </c>
      <c r="N90" s="2">
        <v>240.595</v>
      </c>
      <c r="S90" s="2">
        <v>492.339</v>
      </c>
      <c r="X90" s="2">
        <v>1200.3399999999999</v>
      </c>
      <c r="AC90" s="2">
        <v>2265.3200000000002</v>
      </c>
      <c r="AH90" s="2">
        <v>1424</v>
      </c>
      <c r="AM90" s="2">
        <v>4911.5</v>
      </c>
    </row>
    <row r="91" spans="1:39" x14ac:dyDescent="0.4">
      <c r="A91" s="3" t="s">
        <v>62</v>
      </c>
      <c r="D91" s="2">
        <v>11.5268</v>
      </c>
      <c r="F91" s="3" t="s">
        <v>142</v>
      </c>
      <c r="I91" s="2">
        <v>121.399</v>
      </c>
      <c r="K91" s="3" t="s">
        <v>222</v>
      </c>
      <c r="N91" s="2">
        <v>436.13200000000001</v>
      </c>
      <c r="P91" s="3" t="s">
        <v>305</v>
      </c>
      <c r="S91" s="2">
        <v>734.99199999999996</v>
      </c>
      <c r="U91" s="3" t="s">
        <v>385</v>
      </c>
      <c r="X91" s="2">
        <v>648.21600000000001</v>
      </c>
      <c r="Z91" s="3" t="s">
        <v>465</v>
      </c>
      <c r="AC91" s="2">
        <v>1372.49</v>
      </c>
      <c r="AE91" s="3" t="s">
        <v>547</v>
      </c>
      <c r="AH91" s="2">
        <v>2923.08</v>
      </c>
      <c r="AJ91" s="3" t="s">
        <v>626</v>
      </c>
      <c r="AM91" s="2">
        <v>2066.77</v>
      </c>
    </row>
    <row r="92" spans="1:39" x14ac:dyDescent="0.4">
      <c r="A92" s="3" t="s">
        <v>12</v>
      </c>
      <c r="B92" s="3" t="s">
        <v>63</v>
      </c>
      <c r="D92" s="2">
        <v>30.048100000000002</v>
      </c>
      <c r="F92" s="3" t="s">
        <v>12</v>
      </c>
      <c r="G92" s="3" t="s">
        <v>143</v>
      </c>
      <c r="I92" s="2">
        <v>112.666</v>
      </c>
      <c r="K92" s="3" t="s">
        <v>12</v>
      </c>
      <c r="L92" s="3" t="s">
        <v>223</v>
      </c>
      <c r="N92" s="2">
        <v>174.733</v>
      </c>
      <c r="P92" s="3" t="s">
        <v>12</v>
      </c>
      <c r="Q92" s="3" t="s">
        <v>306</v>
      </c>
      <c r="S92" s="2">
        <v>1010.55</v>
      </c>
      <c r="U92" s="3" t="s">
        <v>12</v>
      </c>
      <c r="V92" s="3" t="s">
        <v>386</v>
      </c>
      <c r="X92" s="2">
        <v>208.899</v>
      </c>
      <c r="Z92" s="3" t="s">
        <v>12</v>
      </c>
      <c r="AA92" s="3" t="s">
        <v>466</v>
      </c>
      <c r="AC92" s="2">
        <v>988.13</v>
      </c>
      <c r="AE92" s="3" t="s">
        <v>12</v>
      </c>
      <c r="AF92" s="3" t="s">
        <v>548</v>
      </c>
      <c r="AH92" s="2">
        <v>5007.83</v>
      </c>
      <c r="AJ92" s="3" t="s">
        <v>12</v>
      </c>
      <c r="AK92" s="3" t="s">
        <v>627</v>
      </c>
      <c r="AM92" s="2">
        <v>5669.17</v>
      </c>
    </row>
    <row r="93" spans="1:39" x14ac:dyDescent="0.4">
      <c r="A93" s="3" t="s">
        <v>14</v>
      </c>
      <c r="B93" s="3" t="s">
        <v>64</v>
      </c>
      <c r="D93" s="2">
        <v>10.5588</v>
      </c>
      <c r="F93" s="3" t="s">
        <v>14</v>
      </c>
      <c r="G93" s="3" t="s">
        <v>144</v>
      </c>
      <c r="I93" s="2">
        <v>104.14700000000001</v>
      </c>
      <c r="K93" s="3" t="s">
        <v>14</v>
      </c>
      <c r="L93" s="3" t="s">
        <v>224</v>
      </c>
      <c r="N93" s="2">
        <v>29.658799999999999</v>
      </c>
      <c r="P93" s="3" t="s">
        <v>14</v>
      </c>
      <c r="Q93" s="3" t="s">
        <v>307</v>
      </c>
      <c r="S93" s="2">
        <v>445.35500000000002</v>
      </c>
      <c r="U93" s="3" t="s">
        <v>14</v>
      </c>
      <c r="V93" s="3" t="s">
        <v>387</v>
      </c>
      <c r="X93" s="2">
        <v>577.32399999999996</v>
      </c>
      <c r="Z93" s="3" t="s">
        <v>14</v>
      </c>
      <c r="AA93" s="3" t="s">
        <v>467</v>
      </c>
      <c r="AC93" s="2">
        <v>919.34</v>
      </c>
      <c r="AE93" s="3" t="s">
        <v>14</v>
      </c>
      <c r="AF93" s="3" t="s">
        <v>549</v>
      </c>
      <c r="AH93" s="2">
        <v>1672</v>
      </c>
      <c r="AJ93" s="3" t="s">
        <v>14</v>
      </c>
      <c r="AK93" s="3" t="s">
        <v>628</v>
      </c>
      <c r="AM93" s="2">
        <v>9160.23</v>
      </c>
    </row>
    <row r="94" spans="1:39" x14ac:dyDescent="0.4">
      <c r="A94" s="3" t="s">
        <v>16</v>
      </c>
      <c r="B94" s="3" t="s">
        <v>65</v>
      </c>
      <c r="D94" s="2">
        <v>3.7758400000000001</v>
      </c>
      <c r="F94" s="3" t="s">
        <v>16</v>
      </c>
      <c r="G94" s="3" t="s">
        <v>145</v>
      </c>
      <c r="I94" s="2">
        <v>118.55200000000001</v>
      </c>
      <c r="K94" s="3" t="s">
        <v>16</v>
      </c>
      <c r="L94" s="3" t="s">
        <v>225</v>
      </c>
      <c r="N94" s="2">
        <v>142.197</v>
      </c>
      <c r="P94" s="3" t="s">
        <v>16</v>
      </c>
      <c r="Q94" s="3" t="s">
        <v>308</v>
      </c>
      <c r="S94" s="2">
        <v>380.43200000000002</v>
      </c>
      <c r="U94" s="3" t="s">
        <v>16</v>
      </c>
      <c r="V94" s="3" t="s">
        <v>388</v>
      </c>
      <c r="X94" s="2">
        <v>472.69400000000002</v>
      </c>
      <c r="Z94" s="3" t="s">
        <v>16</v>
      </c>
      <c r="AA94" s="3" t="s">
        <v>468</v>
      </c>
      <c r="AC94" s="2">
        <v>1962.74</v>
      </c>
      <c r="AE94" s="3" t="s">
        <v>16</v>
      </c>
      <c r="AF94" s="3" t="s">
        <v>550</v>
      </c>
      <c r="AH94" s="2">
        <v>1000.79</v>
      </c>
      <c r="AJ94" s="3" t="s">
        <v>16</v>
      </c>
      <c r="AK94" s="3" t="s">
        <v>629</v>
      </c>
      <c r="AM94" s="2">
        <v>3929.45</v>
      </c>
    </row>
    <row r="95" spans="1:39" x14ac:dyDescent="0.4">
      <c r="D95" s="2">
        <v>19.506</v>
      </c>
      <c r="I95" s="2">
        <v>54.149900000000002</v>
      </c>
      <c r="N95" s="2">
        <v>354.82</v>
      </c>
      <c r="S95" s="2">
        <v>548.59699999999998</v>
      </c>
      <c r="X95" s="2">
        <v>2115.39</v>
      </c>
      <c r="AC95" s="2">
        <v>259.60700000000003</v>
      </c>
      <c r="AH95" s="2">
        <v>598.86599999999999</v>
      </c>
      <c r="AM95" s="2">
        <v>8268.65</v>
      </c>
    </row>
    <row r="96" spans="1:39" x14ac:dyDescent="0.4">
      <c r="A96" s="3" t="s">
        <v>66</v>
      </c>
      <c r="F96" s="3" t="s">
        <v>146</v>
      </c>
      <c r="K96" s="3" t="s">
        <v>226</v>
      </c>
      <c r="P96" s="3" t="s">
        <v>309</v>
      </c>
      <c r="U96" s="3" t="s">
        <v>389</v>
      </c>
      <c r="Z96" s="3" t="s">
        <v>469</v>
      </c>
      <c r="AE96" s="3" t="s">
        <v>551</v>
      </c>
      <c r="AJ96" s="3" t="s">
        <v>579</v>
      </c>
      <c r="AM96" s="2">
        <v>5882.82</v>
      </c>
    </row>
    <row r="97" spans="1:39" x14ac:dyDescent="0.4">
      <c r="A97" s="3" t="s">
        <v>12</v>
      </c>
      <c r="B97" s="3" t="s">
        <v>67</v>
      </c>
      <c r="F97" s="3" t="s">
        <v>12</v>
      </c>
      <c r="G97" s="3" t="s">
        <v>147</v>
      </c>
      <c r="K97" s="3" t="s">
        <v>12</v>
      </c>
      <c r="L97" s="3" t="s">
        <v>227</v>
      </c>
      <c r="P97" s="3" t="s">
        <v>12</v>
      </c>
      <c r="Q97" s="3" t="s">
        <v>310</v>
      </c>
      <c r="U97" s="3" t="s">
        <v>12</v>
      </c>
      <c r="V97" s="3" t="s">
        <v>390</v>
      </c>
      <c r="Z97" s="3" t="s">
        <v>12</v>
      </c>
      <c r="AA97" s="3" t="s">
        <v>470</v>
      </c>
      <c r="AE97" s="3" t="s">
        <v>12</v>
      </c>
      <c r="AF97" s="3" t="s">
        <v>552</v>
      </c>
      <c r="AJ97" s="3" t="s">
        <v>12</v>
      </c>
      <c r="AK97" s="3" t="s">
        <v>630</v>
      </c>
      <c r="AM97" s="2">
        <v>4478.01</v>
      </c>
    </row>
    <row r="98" spans="1:39" x14ac:dyDescent="0.4">
      <c r="A98" s="3" t="s">
        <v>14</v>
      </c>
      <c r="B98" s="3" t="s">
        <v>68</v>
      </c>
      <c r="F98" s="3" t="s">
        <v>14</v>
      </c>
      <c r="G98" s="3" t="s">
        <v>148</v>
      </c>
      <c r="K98" s="3" t="s">
        <v>14</v>
      </c>
      <c r="L98" s="3" t="s">
        <v>228</v>
      </c>
      <c r="P98" s="3" t="s">
        <v>14</v>
      </c>
      <c r="Q98" s="3" t="s">
        <v>311</v>
      </c>
      <c r="U98" s="3" t="s">
        <v>14</v>
      </c>
      <c r="V98" s="3" t="s">
        <v>391</v>
      </c>
      <c r="Z98" s="3" t="s">
        <v>14</v>
      </c>
      <c r="AA98" s="3" t="s">
        <v>471</v>
      </c>
      <c r="AE98" s="3" t="s">
        <v>14</v>
      </c>
      <c r="AF98" s="3" t="s">
        <v>553</v>
      </c>
      <c r="AJ98" s="3" t="s">
        <v>14</v>
      </c>
      <c r="AK98" s="3" t="s">
        <v>631</v>
      </c>
      <c r="AM98" s="2">
        <v>1426.42</v>
      </c>
    </row>
    <row r="99" spans="1:39" x14ac:dyDescent="0.4">
      <c r="A99" s="3" t="s">
        <v>16</v>
      </c>
      <c r="B99" s="3" t="s">
        <v>69</v>
      </c>
      <c r="F99" s="3" t="s">
        <v>16</v>
      </c>
      <c r="G99" s="3" t="s">
        <v>149</v>
      </c>
      <c r="K99" s="3" t="s">
        <v>16</v>
      </c>
      <c r="L99" s="3" t="s">
        <v>229</v>
      </c>
      <c r="P99" s="3" t="s">
        <v>16</v>
      </c>
      <c r="Q99" s="3" t="s">
        <v>312</v>
      </c>
      <c r="U99" s="3" t="s">
        <v>16</v>
      </c>
      <c r="V99" s="3" t="s">
        <v>392</v>
      </c>
      <c r="Z99" s="3" t="s">
        <v>16</v>
      </c>
      <c r="AA99" s="3" t="s">
        <v>472</v>
      </c>
      <c r="AE99" s="3" t="s">
        <v>16</v>
      </c>
      <c r="AF99" s="3" t="s">
        <v>554</v>
      </c>
      <c r="AJ99" s="3" t="s">
        <v>16</v>
      </c>
      <c r="AK99" s="3" t="s">
        <v>632</v>
      </c>
    </row>
    <row r="101" spans="1:39" x14ac:dyDescent="0.4">
      <c r="A101" s="3" t="s">
        <v>70</v>
      </c>
      <c r="F101" s="3" t="s">
        <v>150</v>
      </c>
      <c r="K101" s="3" t="s">
        <v>230</v>
      </c>
      <c r="P101" s="3" t="s">
        <v>313</v>
      </c>
      <c r="U101" s="3" t="s">
        <v>393</v>
      </c>
      <c r="Z101" s="3" t="s">
        <v>473</v>
      </c>
      <c r="AE101" s="3" t="s">
        <v>555</v>
      </c>
      <c r="AJ101" s="3" t="s">
        <v>583</v>
      </c>
    </row>
    <row r="102" spans="1:39" x14ac:dyDescent="0.4">
      <c r="A102" s="3" t="s">
        <v>12</v>
      </c>
      <c r="B102" s="3" t="s">
        <v>71</v>
      </c>
      <c r="F102" s="3" t="s">
        <v>12</v>
      </c>
      <c r="G102" s="3" t="s">
        <v>151</v>
      </c>
      <c r="K102" s="3" t="s">
        <v>12</v>
      </c>
      <c r="L102" s="3" t="s">
        <v>231</v>
      </c>
      <c r="P102" s="3" t="s">
        <v>12</v>
      </c>
      <c r="Q102" s="3" t="s">
        <v>314</v>
      </c>
      <c r="U102" s="3" t="s">
        <v>12</v>
      </c>
      <c r="V102" s="3" t="s">
        <v>394</v>
      </c>
      <c r="Z102" s="3" t="s">
        <v>12</v>
      </c>
      <c r="AA102" s="3" t="s">
        <v>474</v>
      </c>
      <c r="AE102" s="3" t="s">
        <v>12</v>
      </c>
      <c r="AF102" s="3" t="s">
        <v>556</v>
      </c>
      <c r="AJ102" s="3" t="s">
        <v>12</v>
      </c>
      <c r="AK102" s="3" t="s">
        <v>633</v>
      </c>
    </row>
    <row r="103" spans="1:39" x14ac:dyDescent="0.4">
      <c r="A103" s="3" t="s">
        <v>14</v>
      </c>
      <c r="B103" s="3" t="s">
        <v>72</v>
      </c>
      <c r="F103" s="3" t="s">
        <v>14</v>
      </c>
      <c r="G103" s="3" t="s">
        <v>152</v>
      </c>
      <c r="K103" s="3" t="s">
        <v>14</v>
      </c>
      <c r="L103" s="3" t="s">
        <v>232</v>
      </c>
      <c r="P103" s="3" t="s">
        <v>14</v>
      </c>
      <c r="Q103" s="3" t="s">
        <v>315</v>
      </c>
      <c r="U103" s="3" t="s">
        <v>14</v>
      </c>
      <c r="V103" s="3" t="s">
        <v>395</v>
      </c>
      <c r="Z103" s="3" t="s">
        <v>14</v>
      </c>
      <c r="AA103" s="3" t="s">
        <v>475</v>
      </c>
      <c r="AE103" s="3" t="s">
        <v>14</v>
      </c>
      <c r="AF103" s="3" t="s">
        <v>557</v>
      </c>
      <c r="AJ103" s="3" t="s">
        <v>14</v>
      </c>
      <c r="AK103" s="3" t="s">
        <v>634</v>
      </c>
    </row>
    <row r="104" spans="1:39" x14ac:dyDescent="0.4">
      <c r="A104" s="3" t="s">
        <v>16</v>
      </c>
      <c r="B104" s="3" t="s">
        <v>73</v>
      </c>
      <c r="F104" s="3" t="s">
        <v>16</v>
      </c>
      <c r="G104" s="3" t="s">
        <v>153</v>
      </c>
      <c r="K104" s="3" t="s">
        <v>16</v>
      </c>
      <c r="L104" s="3" t="s">
        <v>233</v>
      </c>
      <c r="P104" s="3" t="s">
        <v>16</v>
      </c>
      <c r="Q104" s="3" t="s">
        <v>316</v>
      </c>
      <c r="U104" s="3" t="s">
        <v>16</v>
      </c>
      <c r="V104" s="3" t="s">
        <v>396</v>
      </c>
      <c r="Z104" s="3" t="s">
        <v>16</v>
      </c>
      <c r="AA104" s="3" t="s">
        <v>476</v>
      </c>
      <c r="AE104" s="3" t="s">
        <v>16</v>
      </c>
      <c r="AF104" s="3" t="s">
        <v>558</v>
      </c>
      <c r="AJ104" s="3" t="s">
        <v>16</v>
      </c>
      <c r="AK104" s="3" t="s">
        <v>635</v>
      </c>
    </row>
    <row r="106" spans="1:39" x14ac:dyDescent="0.4">
      <c r="A106" s="3" t="s">
        <v>74</v>
      </c>
      <c r="F106" s="3" t="s">
        <v>154</v>
      </c>
      <c r="K106" s="3" t="s">
        <v>234</v>
      </c>
      <c r="P106" s="3" t="s">
        <v>317</v>
      </c>
      <c r="U106" s="3" t="s">
        <v>397</v>
      </c>
      <c r="Z106" s="3" t="s">
        <v>477</v>
      </c>
      <c r="AE106" s="3" t="s">
        <v>559</v>
      </c>
      <c r="AJ106" s="3" t="s">
        <v>587</v>
      </c>
    </row>
    <row r="107" spans="1:39" x14ac:dyDescent="0.4">
      <c r="A107" s="3" t="s">
        <v>12</v>
      </c>
      <c r="B107" s="3" t="s">
        <v>75</v>
      </c>
      <c r="F107" s="3" t="s">
        <v>12</v>
      </c>
      <c r="G107" s="3" t="s">
        <v>155</v>
      </c>
      <c r="K107" s="3" t="s">
        <v>12</v>
      </c>
      <c r="L107" s="3" t="s">
        <v>235</v>
      </c>
      <c r="P107" s="3" t="s">
        <v>12</v>
      </c>
      <c r="Q107" s="3" t="s">
        <v>318</v>
      </c>
      <c r="U107" s="3" t="s">
        <v>12</v>
      </c>
      <c r="V107" s="3" t="s">
        <v>398</v>
      </c>
      <c r="Z107" s="3" t="s">
        <v>12</v>
      </c>
      <c r="AA107" s="3" t="s">
        <v>478</v>
      </c>
      <c r="AE107" s="3" t="s">
        <v>12</v>
      </c>
      <c r="AF107" s="3" t="s">
        <v>560</v>
      </c>
      <c r="AJ107" s="3" t="s">
        <v>12</v>
      </c>
      <c r="AK107" s="3" t="s">
        <v>636</v>
      </c>
    </row>
    <row r="108" spans="1:39" x14ac:dyDescent="0.4">
      <c r="A108" s="3" t="s">
        <v>14</v>
      </c>
      <c r="B108" s="3" t="s">
        <v>76</v>
      </c>
      <c r="F108" s="3" t="s">
        <v>14</v>
      </c>
      <c r="G108" s="3" t="s">
        <v>156</v>
      </c>
      <c r="K108" s="3" t="s">
        <v>14</v>
      </c>
      <c r="L108" s="3" t="s">
        <v>236</v>
      </c>
      <c r="P108" s="3" t="s">
        <v>14</v>
      </c>
      <c r="Q108" s="3" t="s">
        <v>319</v>
      </c>
      <c r="U108" s="3" t="s">
        <v>14</v>
      </c>
      <c r="V108" s="3" t="s">
        <v>399</v>
      </c>
      <c r="Z108" s="3" t="s">
        <v>14</v>
      </c>
      <c r="AA108" s="3" t="s">
        <v>479</v>
      </c>
      <c r="AE108" s="3" t="s">
        <v>14</v>
      </c>
      <c r="AF108" s="3" t="s">
        <v>561</v>
      </c>
      <c r="AJ108" s="3" t="s">
        <v>14</v>
      </c>
      <c r="AK108" s="3" t="s">
        <v>637</v>
      </c>
    </row>
    <row r="109" spans="1:39" x14ac:dyDescent="0.4">
      <c r="A109" s="3" t="s">
        <v>16</v>
      </c>
      <c r="B109" s="3" t="s">
        <v>77</v>
      </c>
      <c r="F109" s="3" t="s">
        <v>16</v>
      </c>
      <c r="G109" s="3" t="s">
        <v>157</v>
      </c>
      <c r="K109" s="3" t="s">
        <v>16</v>
      </c>
      <c r="L109" s="3" t="s">
        <v>237</v>
      </c>
      <c r="P109" s="3" t="s">
        <v>16</v>
      </c>
      <c r="Q109" s="3" t="s">
        <v>320</v>
      </c>
      <c r="U109" s="3" t="s">
        <v>16</v>
      </c>
      <c r="V109" s="3" t="s">
        <v>400</v>
      </c>
      <c r="Z109" s="3" t="s">
        <v>16</v>
      </c>
      <c r="AA109" s="3" t="s">
        <v>480</v>
      </c>
      <c r="AE109" s="3" t="s">
        <v>16</v>
      </c>
      <c r="AF109" s="3" t="s">
        <v>562</v>
      </c>
      <c r="AJ109" s="3" t="s">
        <v>16</v>
      </c>
      <c r="AK109" s="3" t="s">
        <v>638</v>
      </c>
    </row>
    <row r="111" spans="1:39" x14ac:dyDescent="0.4">
      <c r="A111" s="3" t="s">
        <v>78</v>
      </c>
      <c r="F111" s="3" t="s">
        <v>158</v>
      </c>
      <c r="K111" s="3" t="s">
        <v>238</v>
      </c>
      <c r="P111" s="3" t="s">
        <v>321</v>
      </c>
      <c r="U111" s="3" t="s">
        <v>401</v>
      </c>
      <c r="Z111" s="3" t="s">
        <v>481</v>
      </c>
      <c r="AE111" s="3" t="s">
        <v>563</v>
      </c>
      <c r="AJ111" s="3" t="s">
        <v>590</v>
      </c>
    </row>
    <row r="112" spans="1:39" x14ac:dyDescent="0.4">
      <c r="A112" s="3" t="s">
        <v>12</v>
      </c>
      <c r="B112" s="3" t="s">
        <v>79</v>
      </c>
      <c r="F112" s="3" t="s">
        <v>12</v>
      </c>
      <c r="G112" s="3" t="s">
        <v>159</v>
      </c>
      <c r="K112" s="3" t="s">
        <v>12</v>
      </c>
      <c r="L112" s="3" t="s">
        <v>239</v>
      </c>
      <c r="P112" s="3" t="s">
        <v>12</v>
      </c>
      <c r="Q112" s="3" t="s">
        <v>322</v>
      </c>
      <c r="U112" s="3" t="s">
        <v>12</v>
      </c>
      <c r="V112" s="3" t="s">
        <v>402</v>
      </c>
      <c r="Z112" s="3" t="s">
        <v>12</v>
      </c>
      <c r="AA112" s="3" t="s">
        <v>482</v>
      </c>
      <c r="AE112" s="3" t="s">
        <v>12</v>
      </c>
      <c r="AF112" s="3" t="s">
        <v>564</v>
      </c>
      <c r="AJ112" s="3" t="s">
        <v>12</v>
      </c>
      <c r="AK112" s="3" t="s">
        <v>639</v>
      </c>
    </row>
    <row r="113" spans="1:37" x14ac:dyDescent="0.4">
      <c r="A113" s="3" t="s">
        <v>14</v>
      </c>
      <c r="B113" s="3" t="s">
        <v>80</v>
      </c>
      <c r="F113" s="3" t="s">
        <v>14</v>
      </c>
      <c r="G113" s="3" t="s">
        <v>160</v>
      </c>
      <c r="K113" s="3" t="s">
        <v>14</v>
      </c>
      <c r="L113" s="3" t="s">
        <v>240</v>
      </c>
      <c r="P113" s="3" t="s">
        <v>14</v>
      </c>
      <c r="Q113" s="3" t="s">
        <v>323</v>
      </c>
      <c r="U113" s="3" t="s">
        <v>14</v>
      </c>
      <c r="V113" s="3" t="s">
        <v>403</v>
      </c>
      <c r="Z113" s="3" t="s">
        <v>14</v>
      </c>
      <c r="AA113" s="3" t="s">
        <v>483</v>
      </c>
      <c r="AE113" s="3" t="s">
        <v>14</v>
      </c>
      <c r="AF113" s="3" t="s">
        <v>565</v>
      </c>
      <c r="AJ113" s="3" t="s">
        <v>14</v>
      </c>
      <c r="AK113" s="3" t="s">
        <v>640</v>
      </c>
    </row>
    <row r="114" spans="1:37" x14ac:dyDescent="0.4">
      <c r="A114" s="3" t="s">
        <v>16</v>
      </c>
      <c r="B114" s="3" t="s">
        <v>81</v>
      </c>
      <c r="F114" s="3" t="s">
        <v>16</v>
      </c>
      <c r="G114" s="3" t="s">
        <v>161</v>
      </c>
      <c r="K114" s="3" t="s">
        <v>16</v>
      </c>
      <c r="L114" s="3" t="s">
        <v>241</v>
      </c>
      <c r="P114" s="3" t="s">
        <v>16</v>
      </c>
      <c r="Q114" s="3" t="s">
        <v>324</v>
      </c>
      <c r="U114" s="3" t="s">
        <v>16</v>
      </c>
      <c r="V114" s="3" t="s">
        <v>404</v>
      </c>
      <c r="Z114" s="3" t="s">
        <v>16</v>
      </c>
      <c r="AA114" s="3" t="s">
        <v>484</v>
      </c>
      <c r="AE114" s="3" t="s">
        <v>16</v>
      </c>
      <c r="AF114" s="3" t="s">
        <v>566</v>
      </c>
      <c r="AJ114" s="3" t="s">
        <v>16</v>
      </c>
      <c r="AK114" s="3" t="s">
        <v>641</v>
      </c>
    </row>
    <row r="116" spans="1:37" x14ac:dyDescent="0.4">
      <c r="A116" s="3" t="s">
        <v>82</v>
      </c>
      <c r="F116" s="3" t="s">
        <v>162</v>
      </c>
      <c r="K116" s="3" t="s">
        <v>242</v>
      </c>
      <c r="P116" s="3" t="s">
        <v>325</v>
      </c>
      <c r="U116" s="3" t="s">
        <v>405</v>
      </c>
      <c r="Z116" s="3" t="s">
        <v>485</v>
      </c>
      <c r="AE116" s="3" t="s">
        <v>567</v>
      </c>
      <c r="AJ116" s="3" t="s">
        <v>594</v>
      </c>
    </row>
    <row r="117" spans="1:37" x14ac:dyDescent="0.4">
      <c r="A117" s="3" t="s">
        <v>12</v>
      </c>
      <c r="B117" s="3" t="s">
        <v>83</v>
      </c>
      <c r="F117" s="3" t="s">
        <v>12</v>
      </c>
      <c r="G117" s="3" t="s">
        <v>163</v>
      </c>
      <c r="K117" s="3" t="s">
        <v>12</v>
      </c>
      <c r="L117" s="3" t="s">
        <v>243</v>
      </c>
      <c r="P117" s="3" t="s">
        <v>12</v>
      </c>
      <c r="Q117" s="3" t="s">
        <v>326</v>
      </c>
      <c r="U117" s="3" t="s">
        <v>12</v>
      </c>
      <c r="V117" s="3" t="s">
        <v>406</v>
      </c>
      <c r="Z117" s="3" t="s">
        <v>12</v>
      </c>
      <c r="AA117" s="3" t="s">
        <v>486</v>
      </c>
      <c r="AE117" s="3" t="s">
        <v>12</v>
      </c>
      <c r="AF117" s="3" t="s">
        <v>568</v>
      </c>
      <c r="AJ117" s="3" t="s">
        <v>12</v>
      </c>
      <c r="AK117" s="3" t="s">
        <v>642</v>
      </c>
    </row>
    <row r="118" spans="1:37" x14ac:dyDescent="0.4">
      <c r="A118" s="3" t="s">
        <v>14</v>
      </c>
      <c r="B118" s="3" t="s">
        <v>84</v>
      </c>
      <c r="F118" s="3" t="s">
        <v>14</v>
      </c>
      <c r="G118" s="3" t="s">
        <v>164</v>
      </c>
      <c r="K118" s="3" t="s">
        <v>14</v>
      </c>
      <c r="L118" s="3" t="s">
        <v>244</v>
      </c>
      <c r="P118" s="3" t="s">
        <v>14</v>
      </c>
      <c r="Q118" s="3" t="s">
        <v>327</v>
      </c>
      <c r="U118" s="3" t="s">
        <v>14</v>
      </c>
      <c r="V118" s="3" t="s">
        <v>407</v>
      </c>
      <c r="Z118" s="3" t="s">
        <v>14</v>
      </c>
      <c r="AA118" s="3" t="s">
        <v>487</v>
      </c>
      <c r="AE118" s="3" t="s">
        <v>14</v>
      </c>
      <c r="AF118" s="3" t="s">
        <v>569</v>
      </c>
      <c r="AJ118" s="3" t="s">
        <v>14</v>
      </c>
      <c r="AK118" s="3" t="s">
        <v>643</v>
      </c>
    </row>
    <row r="119" spans="1:37" x14ac:dyDescent="0.4">
      <c r="A119" s="3" t="s">
        <v>16</v>
      </c>
      <c r="B119" s="3" t="s">
        <v>85</v>
      </c>
      <c r="F119" s="3" t="s">
        <v>16</v>
      </c>
      <c r="G119" s="3" t="s">
        <v>165</v>
      </c>
      <c r="K119" s="3" t="s">
        <v>16</v>
      </c>
      <c r="L119" s="3" t="s">
        <v>245</v>
      </c>
      <c r="P119" s="3" t="s">
        <v>16</v>
      </c>
      <c r="Q119" s="3" t="s">
        <v>328</v>
      </c>
      <c r="U119" s="3" t="s">
        <v>16</v>
      </c>
      <c r="V119" s="3" t="s">
        <v>408</v>
      </c>
      <c r="Z119" s="3" t="s">
        <v>16</v>
      </c>
      <c r="AA119" s="3" t="s">
        <v>488</v>
      </c>
      <c r="AE119" s="3" t="s">
        <v>16</v>
      </c>
      <c r="AF119" s="3" t="s">
        <v>570</v>
      </c>
      <c r="AJ119" s="3" t="s">
        <v>16</v>
      </c>
      <c r="AK119" s="3" t="s">
        <v>644</v>
      </c>
    </row>
    <row r="121" spans="1:37" x14ac:dyDescent="0.4">
      <c r="A121" s="3" t="s">
        <v>86</v>
      </c>
      <c r="F121" s="3" t="s">
        <v>166</v>
      </c>
      <c r="K121" s="3" t="s">
        <v>246</v>
      </c>
      <c r="P121" s="3" t="s">
        <v>329</v>
      </c>
      <c r="U121" s="3" t="s">
        <v>409</v>
      </c>
      <c r="Z121" s="3" t="s">
        <v>489</v>
      </c>
      <c r="AE121" s="3" t="s">
        <v>571</v>
      </c>
      <c r="AJ121" s="3" t="s">
        <v>598</v>
      </c>
    </row>
    <row r="122" spans="1:37" x14ac:dyDescent="0.4">
      <c r="A122" s="3" t="s">
        <v>12</v>
      </c>
      <c r="B122" s="3" t="s">
        <v>87</v>
      </c>
      <c r="F122" s="3" t="s">
        <v>12</v>
      </c>
      <c r="G122" s="3" t="s">
        <v>167</v>
      </c>
      <c r="K122" s="3" t="s">
        <v>12</v>
      </c>
      <c r="L122" s="3" t="s">
        <v>247</v>
      </c>
      <c r="P122" s="3" t="s">
        <v>12</v>
      </c>
      <c r="Q122" s="3" t="s">
        <v>330</v>
      </c>
      <c r="U122" s="3" t="s">
        <v>12</v>
      </c>
      <c r="V122" s="3" t="s">
        <v>410</v>
      </c>
      <c r="Z122" s="3" t="s">
        <v>12</v>
      </c>
      <c r="AA122" s="3" t="s">
        <v>490</v>
      </c>
      <c r="AE122" s="3" t="s">
        <v>12</v>
      </c>
      <c r="AF122" s="3" t="s">
        <v>572</v>
      </c>
      <c r="AJ122" s="3" t="s">
        <v>12</v>
      </c>
      <c r="AK122" s="3" t="s">
        <v>645</v>
      </c>
    </row>
    <row r="123" spans="1:37" x14ac:dyDescent="0.4">
      <c r="A123" s="3" t="s">
        <v>14</v>
      </c>
      <c r="B123" s="3" t="s">
        <v>88</v>
      </c>
      <c r="F123" s="3" t="s">
        <v>14</v>
      </c>
      <c r="G123" s="3" t="s">
        <v>168</v>
      </c>
      <c r="K123" s="3" t="s">
        <v>14</v>
      </c>
      <c r="L123" s="3" t="s">
        <v>248</v>
      </c>
      <c r="P123" s="3" t="s">
        <v>14</v>
      </c>
      <c r="Q123" s="3" t="s">
        <v>331</v>
      </c>
      <c r="U123" s="3" t="s">
        <v>14</v>
      </c>
      <c r="V123" s="3" t="s">
        <v>411</v>
      </c>
      <c r="Z123" s="3" t="s">
        <v>14</v>
      </c>
      <c r="AA123" s="3" t="s">
        <v>491</v>
      </c>
      <c r="AE123" s="3" t="s">
        <v>14</v>
      </c>
      <c r="AF123" s="3" t="s">
        <v>573</v>
      </c>
      <c r="AJ123" s="3" t="s">
        <v>14</v>
      </c>
      <c r="AK123" s="3" t="s">
        <v>646</v>
      </c>
    </row>
    <row r="124" spans="1:37" x14ac:dyDescent="0.4">
      <c r="A124" s="3" t="s">
        <v>16</v>
      </c>
      <c r="B124" s="3" t="s">
        <v>89</v>
      </c>
      <c r="F124" s="3" t="s">
        <v>16</v>
      </c>
      <c r="G124" s="3" t="s">
        <v>169</v>
      </c>
      <c r="K124" s="3" t="s">
        <v>16</v>
      </c>
      <c r="L124" s="3" t="s">
        <v>249</v>
      </c>
      <c r="P124" s="3" t="s">
        <v>16</v>
      </c>
      <c r="Q124" s="3" t="s">
        <v>332</v>
      </c>
      <c r="U124" s="3" t="s">
        <v>16</v>
      </c>
      <c r="V124" s="3" t="s">
        <v>412</v>
      </c>
      <c r="Z124" s="3" t="s">
        <v>16</v>
      </c>
      <c r="AA124" s="3" t="s">
        <v>492</v>
      </c>
      <c r="AE124" s="3" t="s">
        <v>16</v>
      </c>
      <c r="AF124" s="3" t="s">
        <v>574</v>
      </c>
      <c r="AJ124" s="3" t="s">
        <v>16</v>
      </c>
      <c r="AK124" s="3" t="s">
        <v>647</v>
      </c>
    </row>
    <row r="126" spans="1:37" x14ac:dyDescent="0.4">
      <c r="A126" s="3" t="s">
        <v>90</v>
      </c>
      <c r="F126" s="3" t="s">
        <v>170</v>
      </c>
      <c r="K126" s="3" t="s">
        <v>250</v>
      </c>
      <c r="P126" s="3" t="s">
        <v>333</v>
      </c>
      <c r="U126" s="3" t="s">
        <v>413</v>
      </c>
      <c r="Z126" s="3" t="s">
        <v>493</v>
      </c>
      <c r="AE126" s="3" t="s">
        <v>575</v>
      </c>
      <c r="AJ126" s="3" t="s">
        <v>602</v>
      </c>
    </row>
    <row r="127" spans="1:37" x14ac:dyDescent="0.4">
      <c r="A127" s="3" t="s">
        <v>12</v>
      </c>
      <c r="B127" s="3" t="s">
        <v>91</v>
      </c>
      <c r="F127" s="3" t="s">
        <v>12</v>
      </c>
      <c r="G127" s="3" t="s">
        <v>171</v>
      </c>
      <c r="K127" s="3" t="s">
        <v>12</v>
      </c>
      <c r="L127" s="3" t="s">
        <v>251</v>
      </c>
      <c r="P127" s="3" t="s">
        <v>12</v>
      </c>
      <c r="Q127" s="3" t="s">
        <v>334</v>
      </c>
      <c r="U127" s="3" t="s">
        <v>12</v>
      </c>
      <c r="V127" s="3" t="s">
        <v>414</v>
      </c>
      <c r="Z127" s="3" t="s">
        <v>12</v>
      </c>
      <c r="AA127" s="3" t="s">
        <v>494</v>
      </c>
      <c r="AE127" s="3" t="s">
        <v>12</v>
      </c>
      <c r="AF127" s="3" t="s">
        <v>576</v>
      </c>
      <c r="AJ127" s="3" t="s">
        <v>12</v>
      </c>
      <c r="AK127" s="3" t="s">
        <v>648</v>
      </c>
    </row>
    <row r="128" spans="1:37" x14ac:dyDescent="0.4">
      <c r="A128" s="3" t="s">
        <v>14</v>
      </c>
      <c r="B128" s="3" t="s">
        <v>92</v>
      </c>
      <c r="F128" s="3" t="s">
        <v>14</v>
      </c>
      <c r="G128" s="3" t="s">
        <v>172</v>
      </c>
      <c r="K128" s="3" t="s">
        <v>14</v>
      </c>
      <c r="L128" s="3" t="s">
        <v>252</v>
      </c>
      <c r="P128" s="3" t="s">
        <v>14</v>
      </c>
      <c r="Q128" s="3" t="s">
        <v>335</v>
      </c>
      <c r="U128" s="3" t="s">
        <v>14</v>
      </c>
      <c r="V128" s="3" t="s">
        <v>415</v>
      </c>
      <c r="Z128" s="3" t="s">
        <v>14</v>
      </c>
      <c r="AA128" s="3" t="s">
        <v>495</v>
      </c>
      <c r="AE128" s="3" t="s">
        <v>14</v>
      </c>
      <c r="AF128" s="3" t="s">
        <v>577</v>
      </c>
      <c r="AJ128" s="3" t="s">
        <v>14</v>
      </c>
      <c r="AK128" s="3" t="s">
        <v>649</v>
      </c>
    </row>
    <row r="129" spans="1:37" x14ac:dyDescent="0.4">
      <c r="A129" s="3" t="s">
        <v>16</v>
      </c>
      <c r="B129" s="3" t="s">
        <v>93</v>
      </c>
      <c r="F129" s="3" t="s">
        <v>16</v>
      </c>
      <c r="G129" s="3" t="s">
        <v>173</v>
      </c>
      <c r="K129" s="3" t="s">
        <v>16</v>
      </c>
      <c r="L129" s="3" t="s">
        <v>253</v>
      </c>
      <c r="P129" s="3" t="s">
        <v>16</v>
      </c>
      <c r="Q129" s="3" t="s">
        <v>336</v>
      </c>
      <c r="U129" s="3" t="s">
        <v>16</v>
      </c>
      <c r="V129" s="3" t="s">
        <v>416</v>
      </c>
      <c r="Z129" s="3" t="s">
        <v>16</v>
      </c>
      <c r="AA129" s="3" t="s">
        <v>496</v>
      </c>
      <c r="AE129" s="3" t="s">
        <v>16</v>
      </c>
      <c r="AF129" s="3" t="s">
        <v>578</v>
      </c>
      <c r="AJ129" s="3" t="s">
        <v>16</v>
      </c>
      <c r="AK129" s="3" t="s">
        <v>650</v>
      </c>
    </row>
    <row r="131" spans="1:37" x14ac:dyDescent="0.4">
      <c r="AJ131" s="3" t="s">
        <v>606</v>
      </c>
    </row>
    <row r="132" spans="1:37" x14ac:dyDescent="0.4">
      <c r="AJ132" s="3" t="s">
        <v>12</v>
      </c>
      <c r="AK132" s="3" t="s">
        <v>651</v>
      </c>
    </row>
    <row r="133" spans="1:37" x14ac:dyDescent="0.4">
      <c r="AJ133" s="3" t="s">
        <v>14</v>
      </c>
      <c r="AK133" s="3" t="s">
        <v>652</v>
      </c>
    </row>
    <row r="134" spans="1:37" x14ac:dyDescent="0.4">
      <c r="AJ134" s="3" t="s">
        <v>16</v>
      </c>
      <c r="AK134" s="3" t="s">
        <v>427</v>
      </c>
    </row>
  </sheetData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Yao Jianwen</dc:creator>
  <cp:lastModifiedBy>健文 姚</cp:lastModifiedBy>
  <dcterms:created xsi:type="dcterms:W3CDTF">2015-06-05T18:19:34Z</dcterms:created>
  <dcterms:modified xsi:type="dcterms:W3CDTF">2025-03-21T18:00:42Z</dcterms:modified>
</cp:coreProperties>
</file>