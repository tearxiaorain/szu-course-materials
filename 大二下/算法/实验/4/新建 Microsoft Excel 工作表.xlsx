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AD28AC25-6C07-4B84-9CCB-EA0EC78249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34" i="1" l="1"/>
  <c r="BJ35" i="1" s="1"/>
  <c r="BJ36" i="1" s="1"/>
  <c r="BJ37" i="1" s="1"/>
  <c r="BJ38" i="1" s="1"/>
  <c r="BJ39" i="1" s="1"/>
  <c r="BJ40" i="1" s="1"/>
  <c r="BJ41" i="1" s="1"/>
  <c r="BJ42" i="1" s="1"/>
  <c r="BJ43" i="1" s="1"/>
  <c r="BJ33" i="1"/>
  <c r="BJ15" i="1"/>
  <c r="BJ16" i="1" s="1"/>
  <c r="BJ17" i="1" s="1"/>
  <c r="BJ18" i="1" s="1"/>
  <c r="BJ19" i="1" s="1"/>
  <c r="BJ20" i="1" s="1"/>
  <c r="BJ21" i="1" s="1"/>
  <c r="BJ22" i="1" s="1"/>
  <c r="BJ14" i="1"/>
  <c r="BJ12" i="1"/>
  <c r="BJ8" i="1"/>
  <c r="BJ10" i="1"/>
  <c r="EK8" i="1"/>
  <c r="EK7" i="1" s="1"/>
  <c r="EK6" i="1" s="1"/>
  <c r="EK5" i="1" s="1"/>
  <c r="EK4" i="1" s="1"/>
  <c r="EK3" i="1" s="1"/>
  <c r="EK2" i="1" s="1"/>
  <c r="EK9" i="1"/>
  <c r="EK12" i="1"/>
  <c r="EK13" i="1" s="1"/>
  <c r="EK14" i="1" s="1"/>
  <c r="EK15" i="1" s="1"/>
  <c r="EK16" i="1" s="1"/>
  <c r="EK17" i="1" s="1"/>
  <c r="EK18" i="1" s="1"/>
  <c r="EK19" i="1" s="1"/>
  <c r="EK20" i="1" s="1"/>
  <c r="EK21" i="1" s="1"/>
  <c r="EK11" i="1"/>
  <c r="EK10" i="1"/>
  <c r="DX8" i="1"/>
  <c r="DX7" i="1" s="1"/>
  <c r="DX6" i="1" s="1"/>
  <c r="DX5" i="1" s="1"/>
  <c r="DX4" i="1" s="1"/>
  <c r="DX3" i="1" s="1"/>
  <c r="DX2" i="1" s="1"/>
  <c r="DX9" i="1"/>
  <c r="DX11" i="1"/>
  <c r="DX12" i="1"/>
  <c r="DX13" i="1" s="1"/>
  <c r="DX14" i="1" s="1"/>
  <c r="DX15" i="1" s="1"/>
  <c r="DX16" i="1" s="1"/>
  <c r="DX17" i="1" s="1"/>
  <c r="DX18" i="1" s="1"/>
  <c r="DX19" i="1" s="1"/>
  <c r="DX20" i="1" s="1"/>
  <c r="DX21" i="1" s="1"/>
  <c r="DX10" i="1"/>
  <c r="AI14" i="1"/>
  <c r="AI13" i="1" s="1"/>
  <c r="AI12" i="1" s="1"/>
  <c r="AI11" i="1" s="1"/>
  <c r="AI10" i="1" s="1"/>
  <c r="AI9" i="1" s="1"/>
  <c r="AI8" i="1" s="1"/>
  <c r="AI7" i="1" s="1"/>
  <c r="AI6" i="1" s="1"/>
  <c r="AI5" i="1" s="1"/>
  <c r="AI4" i="1" s="1"/>
  <c r="AI3" i="1" s="1"/>
  <c r="AI2" i="1" s="1"/>
  <c r="AI15" i="1"/>
  <c r="BJ11" i="1"/>
  <c r="BJ9" i="1" s="1"/>
  <c r="BJ7" i="1" s="1"/>
  <c r="BJ6" i="1" s="1"/>
  <c r="BJ5" i="1" s="1"/>
  <c r="BJ4" i="1" s="1"/>
  <c r="BJ3" i="1" s="1"/>
  <c r="BJ2" i="1" s="1"/>
  <c r="BJ13" i="1"/>
  <c r="AE14" i="1"/>
  <c r="AE15" i="1" s="1"/>
  <c r="AE16" i="1" s="1"/>
  <c r="AE17" i="1" s="1"/>
  <c r="AE18" i="1" s="1"/>
  <c r="AE19" i="1" s="1"/>
  <c r="AE20" i="1" s="1"/>
  <c r="AE21" i="1" s="1"/>
  <c r="AE22" i="1" s="1"/>
  <c r="DD19" i="1"/>
  <c r="DD18" i="1" s="1"/>
  <c r="DD17" i="1" s="1"/>
  <c r="DD16" i="1" s="1"/>
  <c r="DD15" i="1" s="1"/>
  <c r="DD14" i="1" s="1"/>
  <c r="DD13" i="1" s="1"/>
  <c r="DD12" i="1" s="1"/>
  <c r="DD11" i="1" s="1"/>
  <c r="DD10" i="1" s="1"/>
  <c r="DD9" i="1" s="1"/>
  <c r="DD8" i="1" s="1"/>
  <c r="DD7" i="1" s="1"/>
  <c r="DD6" i="1" s="1"/>
  <c r="DD5" i="1" s="1"/>
  <c r="DD4" i="1" s="1"/>
  <c r="DD3" i="1" s="1"/>
  <c r="DD2" i="1" s="1"/>
  <c r="DD20" i="1"/>
  <c r="DD23" i="1"/>
  <c r="DD24" i="1" s="1"/>
  <c r="DD25" i="1" s="1"/>
  <c r="DD26" i="1" s="1"/>
  <c r="DD27" i="1" s="1"/>
  <c r="DD28" i="1" s="1"/>
  <c r="DD29" i="1" s="1"/>
  <c r="DD30" i="1" s="1"/>
  <c r="DD31" i="1" s="1"/>
  <c r="DD22" i="1"/>
  <c r="DD21" i="1"/>
  <c r="BF28" i="1"/>
  <c r="BF29" i="1" s="1"/>
  <c r="BF30" i="1" s="1"/>
  <c r="BF31" i="1" s="1"/>
  <c r="BF32" i="1" s="1"/>
  <c r="BF33" i="1" s="1"/>
  <c r="BF34" i="1"/>
  <c r="BF35" i="1" s="1"/>
  <c r="BF36" i="1" s="1"/>
  <c r="BF37" i="1" s="1"/>
  <c r="BF38" i="1" s="1"/>
  <c r="BF39" i="1" s="1"/>
  <c r="BF40" i="1" s="1"/>
  <c r="BF41" i="1" s="1"/>
  <c r="BF42" i="1" s="1"/>
  <c r="BF43" i="1" s="1"/>
  <c r="BH34" i="1"/>
  <c r="BH35" i="1" s="1"/>
  <c r="BH36" i="1" s="1"/>
  <c r="BH37" i="1" s="1"/>
  <c r="BH38" i="1" s="1"/>
  <c r="BH39" i="1" s="1"/>
  <c r="BH40" i="1" s="1"/>
  <c r="BH41" i="1" s="1"/>
  <c r="BH42" i="1" s="1"/>
  <c r="BH43" i="1" s="1"/>
  <c r="BF12" i="1"/>
  <c r="BF11" i="1" s="1"/>
  <c r="BF10" i="1" s="1"/>
  <c r="BF9" i="1" s="1"/>
  <c r="BF8" i="1" s="1"/>
  <c r="BF7" i="1" s="1"/>
  <c r="BF6" i="1" s="1"/>
  <c r="BF5" i="1" s="1"/>
  <c r="BF4" i="1" s="1"/>
  <c r="BF3" i="1" s="1"/>
  <c r="BF2" i="1" s="1"/>
  <c r="CJ12" i="1"/>
  <c r="CJ13" i="1" s="1"/>
  <c r="CJ14" i="1" s="1"/>
  <c r="CJ15" i="1" s="1"/>
  <c r="CJ16" i="1" s="1"/>
  <c r="CJ17" i="1" s="1"/>
  <c r="CJ18" i="1" s="1"/>
  <c r="CJ19" i="1" s="1"/>
  <c r="CJ20" i="1" s="1"/>
  <c r="CJ21" i="1" s="1"/>
  <c r="CJ22" i="1" s="1"/>
  <c r="CH12" i="1"/>
  <c r="CH11" i="1" s="1"/>
  <c r="CH10" i="1" s="1"/>
  <c r="CH9" i="1" s="1"/>
  <c r="CH8" i="1" s="1"/>
  <c r="CH7" i="1" s="1"/>
  <c r="CH6" i="1" s="1"/>
  <c r="CH5" i="1" s="1"/>
  <c r="CH4" i="1" s="1"/>
  <c r="CH3" i="1" s="1"/>
  <c r="CH2" i="1" s="1"/>
  <c r="CF12" i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D12" i="1"/>
  <c r="CD11" i="1" s="1"/>
  <c r="CD10" i="1" s="1"/>
  <c r="CD9" i="1" s="1"/>
  <c r="CD8" i="1" s="1"/>
  <c r="CD7" i="1" s="1"/>
  <c r="CD6" i="1" s="1"/>
  <c r="CD5" i="1" s="1"/>
  <c r="CD4" i="1" s="1"/>
  <c r="CD3" i="1" s="1"/>
  <c r="CD2" i="1" s="1"/>
  <c r="BH12" i="1"/>
  <c r="BH11" i="1" s="1"/>
  <c r="BH10" i="1" s="1"/>
  <c r="BH9" i="1" s="1"/>
  <c r="BH8" i="1" s="1"/>
  <c r="BH7" i="1" s="1"/>
  <c r="BH6" i="1" s="1"/>
  <c r="BH5" i="1" s="1"/>
  <c r="BH4" i="1" s="1"/>
  <c r="BH3" i="1" s="1"/>
  <c r="BH2" i="1" s="1"/>
  <c r="BD12" i="1"/>
  <c r="BD11" i="1" s="1"/>
  <c r="BD10" i="1" s="1"/>
  <c r="BD9" i="1" s="1"/>
  <c r="BD8" i="1" s="1"/>
  <c r="BD7" i="1" s="1"/>
  <c r="BD6" i="1" s="1"/>
  <c r="BD5" i="1" s="1"/>
  <c r="BD4" i="1" s="1"/>
  <c r="BD3" i="1" s="1"/>
  <c r="BD2" i="1" s="1"/>
  <c r="AG13" i="1"/>
  <c r="AG14" i="1" s="1"/>
  <c r="AG15" i="1" s="1"/>
  <c r="AG12" i="1"/>
  <c r="AG11" i="1" s="1"/>
  <c r="AG10" i="1" s="1"/>
  <c r="AG9" i="1" s="1"/>
  <c r="AG8" i="1" s="1"/>
  <c r="AG7" i="1" s="1"/>
  <c r="AG6" i="1" s="1"/>
  <c r="AG5" i="1" s="1"/>
  <c r="AG4" i="1" s="1"/>
  <c r="AG3" i="1" s="1"/>
  <c r="AG2" i="1" s="1"/>
  <c r="AE12" i="1"/>
  <c r="AE11" i="1" s="1"/>
  <c r="AE10" i="1" s="1"/>
  <c r="AE9" i="1" s="1"/>
  <c r="AE8" i="1" s="1"/>
  <c r="AE7" i="1" s="1"/>
  <c r="AE6" i="1" s="1"/>
  <c r="AE5" i="1" s="1"/>
  <c r="AE4" i="1" s="1"/>
  <c r="AE3" i="1" s="1"/>
  <c r="AE2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AC12" i="1"/>
  <c r="AC11" i="1" s="1"/>
  <c r="AC10" i="1" s="1"/>
  <c r="AC9" i="1" s="1"/>
  <c r="AC8" i="1" s="1"/>
  <c r="AC7" i="1" s="1"/>
  <c r="AC6" i="1" s="1"/>
  <c r="AC5" i="1" s="1"/>
  <c r="AC4" i="1" s="1"/>
  <c r="AC3" i="1" s="1"/>
  <c r="AC2" i="1" s="1"/>
  <c r="I12" i="1"/>
  <c r="I11" i="1" s="1"/>
  <c r="I10" i="1" s="1"/>
  <c r="I9" i="1" s="1"/>
  <c r="I8" i="1" s="1"/>
  <c r="I7" i="1" s="1"/>
  <c r="I6" i="1" s="1"/>
  <c r="I5" i="1" s="1"/>
  <c r="I4" i="1" s="1"/>
  <c r="I3" i="1" s="1"/>
  <c r="I2" i="1" s="1"/>
  <c r="G12" i="1"/>
  <c r="G11" i="1" s="1"/>
  <c r="G10" i="1" s="1"/>
  <c r="G9" i="1" s="1"/>
  <c r="G8" i="1" s="1"/>
  <c r="G7" i="1" s="1"/>
  <c r="G6" i="1" s="1"/>
  <c r="G5" i="1" s="1"/>
  <c r="G4" i="1" s="1"/>
  <c r="G3" i="1" s="1"/>
  <c r="G2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C12" i="1"/>
  <c r="C11" i="1" s="1"/>
  <c r="C10" i="1" s="1"/>
  <c r="C9" i="1" s="1"/>
  <c r="C8" i="1" s="1"/>
  <c r="C7" i="1" s="1"/>
  <c r="C6" i="1" s="1"/>
  <c r="C5" i="1" s="1"/>
  <c r="C4" i="1" s="1"/>
  <c r="C3" i="1" s="1"/>
  <c r="C2" i="1" s="1"/>
  <c r="BJ32" i="1" l="1"/>
  <c r="BJ31" i="1" s="1"/>
  <c r="BJ30" i="1" s="1"/>
  <c r="BJ29" i="1" s="1"/>
  <c r="BJ28" i="1" s="1"/>
  <c r="BJ27" i="1" s="1"/>
  <c r="BJ26" i="1" s="1"/>
  <c r="BJ25" i="1" s="1"/>
  <c r="BJ24" i="1" s="1"/>
  <c r="AI16" i="1"/>
  <c r="AI17" i="1" s="1"/>
  <c r="AI18" i="1" s="1"/>
  <c r="AI19" i="1" s="1"/>
  <c r="AI20" i="1" s="1"/>
  <c r="AI21" i="1" s="1"/>
  <c r="AI22" i="1" s="1"/>
  <c r="AG16" i="1"/>
  <c r="AG17" i="1" s="1"/>
  <c r="AG18" i="1" s="1"/>
  <c r="AG19" i="1" s="1"/>
  <c r="AG20" i="1" s="1"/>
  <c r="AG21" i="1" s="1"/>
  <c r="AG22" i="1" s="1"/>
  <c r="AC13" i="1"/>
  <c r="AC14" i="1" s="1"/>
  <c r="AC15" i="1" s="1"/>
  <c r="AC16" i="1" s="1"/>
  <c r="AC17" i="1" s="1"/>
  <c r="AC18" i="1" s="1"/>
  <c r="AC19" i="1" s="1"/>
  <c r="AC20" i="1" s="1"/>
  <c r="AC21" i="1" s="1"/>
  <c r="AC22" i="1" s="1"/>
  <c r="I13" i="1"/>
  <c r="I14" i="1" s="1"/>
  <c r="I15" i="1" s="1"/>
  <c r="I16" i="1" s="1"/>
  <c r="I17" i="1" s="1"/>
  <c r="I18" i="1" s="1"/>
  <c r="I19" i="1" s="1"/>
  <c r="I20" i="1" s="1"/>
  <c r="I21" i="1" s="1"/>
  <c r="I22" i="1" s="1"/>
  <c r="E11" i="1"/>
  <c r="E10" i="1" s="1"/>
  <c r="E9" i="1" s="1"/>
  <c r="E8" i="1" s="1"/>
  <c r="E7" i="1" s="1"/>
  <c r="E6" i="1" s="1"/>
  <c r="E5" i="1" s="1"/>
  <c r="E4" i="1" s="1"/>
  <c r="E3" i="1" s="1"/>
  <c r="E2" i="1" s="1"/>
  <c r="AE13" i="1"/>
  <c r="CJ11" i="1"/>
  <c r="CJ10" i="1" s="1"/>
  <c r="CJ9" i="1" s="1"/>
  <c r="CJ8" i="1" s="1"/>
  <c r="CJ7" i="1" s="1"/>
  <c r="CJ6" i="1" s="1"/>
  <c r="CJ5" i="1" s="1"/>
  <c r="CJ4" i="1" s="1"/>
  <c r="CJ3" i="1" s="1"/>
  <c r="CJ2" i="1" s="1"/>
  <c r="BF20" i="1"/>
  <c r="BF21" i="1" s="1"/>
  <c r="BF22" i="1" s="1"/>
  <c r="BF27" i="1"/>
  <c r="BH33" i="1"/>
  <c r="BH32" i="1" s="1"/>
  <c r="BH31" i="1" s="1"/>
  <c r="BH30" i="1" s="1"/>
  <c r="BH29" i="1" s="1"/>
  <c r="BH28" i="1" s="1"/>
  <c r="BH27" i="1" s="1"/>
  <c r="BH26" i="1" s="1"/>
  <c r="BH25" i="1" s="1"/>
  <c r="BH24" i="1" s="1"/>
  <c r="CF11" i="1"/>
  <c r="CF10" i="1" s="1"/>
  <c r="CF9" i="1" s="1"/>
  <c r="CF8" i="1" s="1"/>
  <c r="CF7" i="1" s="1"/>
  <c r="CF6" i="1" s="1"/>
  <c r="CF5" i="1" s="1"/>
  <c r="CF4" i="1" s="1"/>
  <c r="CF3" i="1" s="1"/>
  <c r="CF2" i="1" s="1"/>
  <c r="CD13" i="1"/>
  <c r="CD14" i="1" s="1"/>
  <c r="CD15" i="1" s="1"/>
  <c r="CD16" i="1" s="1"/>
  <c r="CD17" i="1" s="1"/>
  <c r="CD18" i="1" s="1"/>
  <c r="CD19" i="1" s="1"/>
  <c r="CD20" i="1" s="1"/>
  <c r="CD21" i="1" s="1"/>
  <c r="CD22" i="1" s="1"/>
  <c r="CH13" i="1"/>
  <c r="CH14" i="1" s="1"/>
  <c r="CH15" i="1" s="1"/>
  <c r="CH16" i="1" s="1"/>
  <c r="CH17" i="1" s="1"/>
  <c r="CH18" i="1" s="1"/>
  <c r="CH19" i="1" s="1"/>
  <c r="CH20" i="1" s="1"/>
  <c r="CH21" i="1" s="1"/>
  <c r="CH22" i="1" s="1"/>
  <c r="BD13" i="1"/>
  <c r="BD14" i="1" s="1"/>
  <c r="BD15" i="1" s="1"/>
  <c r="BD16" i="1" s="1"/>
  <c r="BD17" i="1" s="1"/>
  <c r="BD18" i="1" s="1"/>
  <c r="BD19" i="1" s="1"/>
  <c r="BD20" i="1" s="1"/>
  <c r="BD21" i="1" s="1"/>
  <c r="BD22" i="1" s="1"/>
  <c r="BF13" i="1"/>
  <c r="BF14" i="1" s="1"/>
  <c r="BF15" i="1" s="1"/>
  <c r="BF16" i="1" s="1"/>
  <c r="BF17" i="1" s="1"/>
  <c r="BF18" i="1" s="1"/>
  <c r="BF19" i="1" s="1"/>
  <c r="BH13" i="1"/>
  <c r="BH14" i="1" s="1"/>
  <c r="BH15" i="1" s="1"/>
  <c r="BH16" i="1" s="1"/>
  <c r="BH17" i="1" s="1"/>
  <c r="BH18" i="1" s="1"/>
  <c r="BH19" i="1" s="1"/>
  <c r="BH20" i="1" s="1"/>
  <c r="BH21" i="1" s="1"/>
  <c r="BH22" i="1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BF26" i="1" l="1"/>
  <c r="BF25" i="1" s="1"/>
  <c r="BF24" i="1" s="1"/>
</calcChain>
</file>

<file path=xl/sharedStrings.xml><?xml version="1.0" encoding="utf-8"?>
<sst xmlns="http://schemas.openxmlformats.org/spreadsheetml/2006/main" count="712" uniqueCount="603">
  <si>
    <t>e: 1 f: 100</t>
  </si>
  <si>
    <t>100  朴素dp时间：0</t>
  </si>
  <si>
    <t>100  dp二分时间：0</t>
  </si>
  <si>
    <t>100  dp二分空间优化时间：0</t>
  </si>
  <si>
    <t>e: 5 f: 100</t>
  </si>
  <si>
    <t>e: 10 f: 100</t>
  </si>
  <si>
    <t>e: 15 f: 100</t>
  </si>
  <si>
    <t>e: 20 f: 100</t>
  </si>
  <si>
    <t>e: 25 f: 100</t>
  </si>
  <si>
    <t>e: 30 f: 100</t>
  </si>
  <si>
    <t>e: 35 f: 100</t>
  </si>
  <si>
    <t>e: 40 f: 100</t>
  </si>
  <si>
    <t>e: 45 f: 100</t>
  </si>
  <si>
    <t>朴素dp</t>
    <phoneticPr fontId="1" type="noConversion"/>
  </si>
  <si>
    <t>dp二分</t>
    <phoneticPr fontId="1" type="noConversion"/>
  </si>
  <si>
    <t>dp二分优化空间</t>
    <phoneticPr fontId="1" type="noConversion"/>
  </si>
  <si>
    <t>逆向dp</t>
    <phoneticPr fontId="1" type="noConversion"/>
  </si>
  <si>
    <t>f=100</t>
    <phoneticPr fontId="1" type="noConversion"/>
  </si>
  <si>
    <t>e</t>
    <phoneticPr fontId="1" type="noConversion"/>
  </si>
  <si>
    <t>100  逆向dp时间：4.76837e-07</t>
    <phoneticPr fontId="1" type="noConversion"/>
  </si>
  <si>
    <t>7  朴素dp时间：0.000135183</t>
    <phoneticPr fontId="1" type="noConversion"/>
  </si>
  <si>
    <t>7  dp二分时间：1.7643e-05</t>
    <phoneticPr fontId="1" type="noConversion"/>
  </si>
  <si>
    <t>7  dp二分空间优化时间：1.7643e-05</t>
    <phoneticPr fontId="1" type="noConversion"/>
  </si>
  <si>
    <t>7  逆向dp时间：2.38419e-07</t>
    <phoneticPr fontId="1" type="noConversion"/>
  </si>
  <si>
    <t>7  朴素dp时间：0.000299692</t>
    <phoneticPr fontId="1" type="noConversion"/>
  </si>
  <si>
    <t>7  dp二分时间：2.38419e-05</t>
    <phoneticPr fontId="1" type="noConversion"/>
  </si>
  <si>
    <t>7  dp二分空间优化时间：4.29153e-05</t>
    <phoneticPr fontId="1" type="noConversion"/>
  </si>
  <si>
    <t>7  逆向dp时间：7.15256e-07</t>
    <phoneticPr fontId="1" type="noConversion"/>
  </si>
  <si>
    <t>7  朴素dp时间：0.000376701</t>
    <phoneticPr fontId="1" type="noConversion"/>
  </si>
  <si>
    <t>7  dp二分时间：3.48091e-05</t>
    <phoneticPr fontId="1" type="noConversion"/>
  </si>
  <si>
    <t>7  dp二分空间优化时间：3.38554e-05</t>
    <phoneticPr fontId="1" type="noConversion"/>
  </si>
  <si>
    <t>7  逆向dp时间：4.76837e-07</t>
    <phoneticPr fontId="1" type="noConversion"/>
  </si>
  <si>
    <t>7  朴素dp时间：0.000485182</t>
    <phoneticPr fontId="1" type="noConversion"/>
  </si>
  <si>
    <t>7  dp二分时间：4.22001e-05</t>
    <phoneticPr fontId="1" type="noConversion"/>
  </si>
  <si>
    <t>7  dp二分空间优化时间：3.98159e-05</t>
    <phoneticPr fontId="1" type="noConversion"/>
  </si>
  <si>
    <t>7  朴素dp时间：0.000539064</t>
    <phoneticPr fontId="1" type="noConversion"/>
  </si>
  <si>
    <t>7  dp二分时间：5.14984e-05</t>
    <phoneticPr fontId="1" type="noConversion"/>
  </si>
  <si>
    <t>7  dp二分空间优化时间：4.91142e-05</t>
    <phoneticPr fontId="1" type="noConversion"/>
  </si>
  <si>
    <t>7  逆向dp时间：9.53674e-07</t>
    <phoneticPr fontId="1" type="noConversion"/>
  </si>
  <si>
    <t>7  朴素dp时间：0.000696898</t>
    <phoneticPr fontId="1" type="noConversion"/>
  </si>
  <si>
    <t>7  dp二分时间：6.07967e-05</t>
    <phoneticPr fontId="1" type="noConversion"/>
  </si>
  <si>
    <t>7  dp二分空间优化时间：5.81741e-05</t>
    <phoneticPr fontId="1" type="noConversion"/>
  </si>
  <si>
    <t>7  朴素dp时间：0.000801325</t>
    <phoneticPr fontId="1" type="noConversion"/>
  </si>
  <si>
    <t>7  dp二分时间：7.15256e-05</t>
    <phoneticPr fontId="1" type="noConversion"/>
  </si>
  <si>
    <t>7  dp二分空间优化时间：6.74725e-05</t>
    <phoneticPr fontId="1" type="noConversion"/>
  </si>
  <si>
    <t>7  逆向dp时间：1.19209e-06</t>
    <phoneticPr fontId="1" type="noConversion"/>
  </si>
  <si>
    <t>7  朴素dp时间：0.000952005</t>
    <phoneticPr fontId="1" type="noConversion"/>
  </si>
  <si>
    <t>7  dp二分时间：9.65595e-05</t>
    <phoneticPr fontId="1" type="noConversion"/>
  </si>
  <si>
    <t>7  dp二分空间优化时间：0.000109434</t>
    <phoneticPr fontId="1" type="noConversion"/>
  </si>
  <si>
    <t>7  逆向dp时间：1.43051e-06</t>
    <phoneticPr fontId="1" type="noConversion"/>
  </si>
  <si>
    <t>7  朴素dp时间：0.00104976</t>
    <phoneticPr fontId="1" type="noConversion"/>
  </si>
  <si>
    <t>7  dp二分时间：0.000146627</t>
    <phoneticPr fontId="1" type="noConversion"/>
  </si>
  <si>
    <t>7  dp二分空间优化时间：0.000104904</t>
    <phoneticPr fontId="1" type="noConversion"/>
  </si>
  <si>
    <t>e: 50 f: 100</t>
  </si>
  <si>
    <t>e: 55 f: 100</t>
  </si>
  <si>
    <t>e: 60 f: 100</t>
  </si>
  <si>
    <t>e: 65 f: 100</t>
  </si>
  <si>
    <t>e: 70 f: 100</t>
  </si>
  <si>
    <t>e: 75 f: 100</t>
  </si>
  <si>
    <t>e: 80 f: 100</t>
  </si>
  <si>
    <t>e: 85 f: 100</t>
  </si>
  <si>
    <t>e: 90 f: 100</t>
  </si>
  <si>
    <t>e: 95 f: 100</t>
  </si>
  <si>
    <t>e: 100 f: 100</t>
  </si>
  <si>
    <t>7  朴素dp时间：0.00167394</t>
    <phoneticPr fontId="1" type="noConversion"/>
  </si>
  <si>
    <t>7  dp二分时间：0.000136852</t>
    <phoneticPr fontId="1" type="noConversion"/>
  </si>
  <si>
    <t>7  dp二分空间优化时间：0.000144958</t>
    <phoneticPr fontId="1" type="noConversion"/>
  </si>
  <si>
    <t>7  逆向dp时间：2.14577e-06</t>
    <phoneticPr fontId="1" type="noConversion"/>
  </si>
  <si>
    <t>7  朴素dp时间：0.0018301</t>
    <phoneticPr fontId="1" type="noConversion"/>
  </si>
  <si>
    <t>7  dp二分时间：0.000161648</t>
    <phoneticPr fontId="1" type="noConversion"/>
  </si>
  <si>
    <t>7  dp二分空间优化时间：0.000168324</t>
    <phoneticPr fontId="1" type="noConversion"/>
  </si>
  <si>
    <t>7  逆向dp时间：2.38419e-06</t>
    <phoneticPr fontId="1" type="noConversion"/>
  </si>
  <si>
    <t>7  朴素dp时间：0.0019908</t>
    <phoneticPr fontId="1" type="noConversion"/>
  </si>
  <si>
    <t>7  dp二分时间：0.000147581</t>
    <phoneticPr fontId="1" type="noConversion"/>
  </si>
  <si>
    <t>7  dp二分空间优化时间：0.000165939</t>
    <phoneticPr fontId="1" type="noConversion"/>
  </si>
  <si>
    <t>7  朴素dp时间：0.00215626</t>
    <phoneticPr fontId="1" type="noConversion"/>
  </si>
  <si>
    <t>7  dp二分时间：0.000171661</t>
    <phoneticPr fontId="1" type="noConversion"/>
  </si>
  <si>
    <t>7  dp二分空间优化时间：0.000195026</t>
    <phoneticPr fontId="1" type="noConversion"/>
  </si>
  <si>
    <t>7  朴素dp时间：0.00232482</t>
    <phoneticPr fontId="1" type="noConversion"/>
  </si>
  <si>
    <t>7  dp二分时间：0.000186682</t>
    <phoneticPr fontId="1" type="noConversion"/>
  </si>
  <si>
    <t>7  逆向dp时间：2.6226e-06</t>
    <phoneticPr fontId="1" type="noConversion"/>
  </si>
  <si>
    <t>7  朴素dp时间：0.0025053</t>
    <phoneticPr fontId="1" type="noConversion"/>
  </si>
  <si>
    <t>7  dp二分时间：0.000197649</t>
    <phoneticPr fontId="1" type="noConversion"/>
  </si>
  <si>
    <t>7  dp二分空间优化时间：0.000207901</t>
    <phoneticPr fontId="1" type="noConversion"/>
  </si>
  <si>
    <t>7  逆向dp时间：2.86102e-06</t>
    <phoneticPr fontId="1" type="noConversion"/>
  </si>
  <si>
    <t>7  朴素dp时间：0.00266218</t>
    <phoneticPr fontId="1" type="noConversion"/>
  </si>
  <si>
    <t>7  dp二分时间：0.000211</t>
    <phoneticPr fontId="1" type="noConversion"/>
  </si>
  <si>
    <t>7  dp二分空间优化时间：0.000239134</t>
    <phoneticPr fontId="1" type="noConversion"/>
  </si>
  <si>
    <t>7  朴素dp时间：0.00283313</t>
    <phoneticPr fontId="1" type="noConversion"/>
  </si>
  <si>
    <t>7  dp二分时间：0.000224352</t>
    <phoneticPr fontId="1" type="noConversion"/>
  </si>
  <si>
    <t>7  dp二分空间优化时间：0.000236511</t>
    <phoneticPr fontId="1" type="noConversion"/>
  </si>
  <si>
    <t>7  朴素dp时间：0.0030055</t>
    <phoneticPr fontId="1" type="noConversion"/>
  </si>
  <si>
    <t>7  dp二分时间：0.000237942</t>
    <phoneticPr fontId="1" type="noConversion"/>
  </si>
  <si>
    <t>7  dp二分空间优化时间：0.000261068</t>
    <phoneticPr fontId="1" type="noConversion"/>
  </si>
  <si>
    <t>7  逆向dp时间：3.33786e-06</t>
    <phoneticPr fontId="1" type="noConversion"/>
  </si>
  <si>
    <t>7  朴素dp时间：0.00315738</t>
    <phoneticPr fontId="1" type="noConversion"/>
  </si>
  <si>
    <t>7  dp二分时间：0.000250578</t>
    <phoneticPr fontId="1" type="noConversion"/>
  </si>
  <si>
    <t>7  dp二分空间优化时间：0.00026536</t>
    <phoneticPr fontId="1" type="noConversion"/>
  </si>
  <si>
    <t>7  逆向dp时间：3.57628e-06</t>
    <phoneticPr fontId="1" type="noConversion"/>
  </si>
  <si>
    <t>7  朴素dp时间：0.00330234</t>
    <phoneticPr fontId="1" type="noConversion"/>
  </si>
  <si>
    <t>7  dp二分时间：0.000261545</t>
    <phoneticPr fontId="1" type="noConversion"/>
  </si>
  <si>
    <t>7  dp二分空间优化时间：0.000277519</t>
    <phoneticPr fontId="1" type="noConversion"/>
  </si>
  <si>
    <t>理论</t>
    <phoneticPr fontId="1" type="noConversion"/>
  </si>
  <si>
    <t>e=20</t>
    <phoneticPr fontId="1" type="noConversion"/>
  </si>
  <si>
    <t>f</t>
    <phoneticPr fontId="1" type="noConversion"/>
  </si>
  <si>
    <t>e: 20 f: 1</t>
  </si>
  <si>
    <t>1  朴素dp时间：0</t>
  </si>
  <si>
    <t>1  逆向dp时间：0</t>
  </si>
  <si>
    <t>e: 20 f: 200</t>
  </si>
  <si>
    <t>e: 20 f: 300</t>
  </si>
  <si>
    <t>e: 20 f: 400</t>
  </si>
  <si>
    <t>e: 20 f: 50</t>
  </si>
  <si>
    <t>e: 20 f: 150</t>
  </si>
  <si>
    <t>e: 20 f: 250</t>
  </si>
  <si>
    <t>e: 20 f: 450</t>
  </si>
  <si>
    <t>e: 20 f: 500</t>
  </si>
  <si>
    <t>e: 20 f: 550</t>
  </si>
  <si>
    <t>e: 20 f: 600</t>
  </si>
  <si>
    <t>e: 20 f: 650</t>
  </si>
  <si>
    <t>e: 20 f: 700</t>
  </si>
  <si>
    <t>e: 20 f: 800</t>
  </si>
  <si>
    <t>10  dp二分空间优化时间：0.000334263</t>
  </si>
  <si>
    <t>e: 20 f: 850</t>
  </si>
  <si>
    <t>e: 20 f: 900</t>
  </si>
  <si>
    <t>e: 20 f: 950</t>
  </si>
  <si>
    <t>e: 20 f: 1000</t>
  </si>
  <si>
    <t>1  dp二分时间：2.38419e-07</t>
    <phoneticPr fontId="1" type="noConversion"/>
  </si>
  <si>
    <t>1  dp二分空间优化时间：2.38419e-07</t>
    <phoneticPr fontId="1" type="noConversion"/>
  </si>
  <si>
    <t>6  朴素dp时间：0.000157833</t>
    <phoneticPr fontId="1" type="noConversion"/>
  </si>
  <si>
    <t>6  dp二分时间：2.86102e-05</t>
    <phoneticPr fontId="1" type="noConversion"/>
  </si>
  <si>
    <t>6  dp二分空间优化时间：3.00407e-05</t>
    <phoneticPr fontId="1" type="noConversion"/>
  </si>
  <si>
    <t>6  逆向dp时间：7.15256e-07</t>
    <phoneticPr fontId="1" type="noConversion"/>
  </si>
  <si>
    <t>7  朴素dp时间：0.000516653</t>
    <phoneticPr fontId="1" type="noConversion"/>
  </si>
  <si>
    <t>7  dp二分时间：5.03063e-05</t>
    <phoneticPr fontId="1" type="noConversion"/>
  </si>
  <si>
    <t>7  dp二分空间优化时间：6.79493e-05</t>
    <phoneticPr fontId="1" type="noConversion"/>
  </si>
  <si>
    <t>8  朴素dp时间：0.0010128</t>
    <phoneticPr fontId="1" type="noConversion"/>
  </si>
  <si>
    <t>8  dp二分时间：6.22272e-05</t>
    <phoneticPr fontId="1" type="noConversion"/>
  </si>
  <si>
    <t>8  dp二分空间优化时间：6.1512e-05</t>
    <phoneticPr fontId="1" type="noConversion"/>
  </si>
  <si>
    <t>8  逆向dp时间：7.15256e-07</t>
    <phoneticPr fontId="1" type="noConversion"/>
  </si>
  <si>
    <t>8  朴素dp时间：0.00167704</t>
    <phoneticPr fontId="1" type="noConversion"/>
  </si>
  <si>
    <t>8  dp二分时间：9.13143e-05</t>
    <phoneticPr fontId="1" type="noConversion"/>
  </si>
  <si>
    <t>8  dp二分空间优化时间：7.98702e-05</t>
    <phoneticPr fontId="1" type="noConversion"/>
  </si>
  <si>
    <t>8  逆向dp时间：4.76837e-07</t>
    <phoneticPr fontId="1" type="noConversion"/>
  </si>
  <si>
    <t>8  朴素dp时间：0.0029881</t>
    <phoneticPr fontId="1" type="noConversion"/>
  </si>
  <si>
    <t>8  dp二分时间：0.000128984</t>
    <phoneticPr fontId="1" type="noConversion"/>
  </si>
  <si>
    <t>8  dp二分空间优化时间：0.000125408</t>
    <phoneticPr fontId="1" type="noConversion"/>
  </si>
  <si>
    <t>9  朴素dp时间：0.00485086</t>
    <phoneticPr fontId="1" type="noConversion"/>
  </si>
  <si>
    <t>9  dp二分时间：0.000178099</t>
    <phoneticPr fontId="1" type="noConversion"/>
  </si>
  <si>
    <t>9  dp二分空间优化时间：0.000174522</t>
    <phoneticPr fontId="1" type="noConversion"/>
  </si>
  <si>
    <t>9  逆向dp时间：1.19209e-06</t>
    <phoneticPr fontId="1" type="noConversion"/>
  </si>
  <si>
    <t>9  朴素dp时间：0.00713277</t>
    <phoneticPr fontId="1" type="noConversion"/>
  </si>
  <si>
    <t>9  dp二分时间：0.000230074</t>
    <phoneticPr fontId="1" type="noConversion"/>
  </si>
  <si>
    <t>9  dp二分空间优化时间：0.000210285</t>
    <phoneticPr fontId="1" type="noConversion"/>
  </si>
  <si>
    <t>9  逆向dp时间：1.43051e-06</t>
    <phoneticPr fontId="1" type="noConversion"/>
  </si>
  <si>
    <t>9  朴素dp时间：0.00795746</t>
    <phoneticPr fontId="1" type="noConversion"/>
  </si>
  <si>
    <t>9  dp二分时间：0.000195503</t>
    <phoneticPr fontId="1" type="noConversion"/>
  </si>
  <si>
    <t>9  dp二分空间优化时间：0.000165462</t>
    <phoneticPr fontId="1" type="noConversion"/>
  </si>
  <si>
    <t>9  逆向dp时间：9.53674e-07</t>
    <phoneticPr fontId="1" type="noConversion"/>
  </si>
  <si>
    <t>9  朴素dp时间：0.00944328</t>
    <phoneticPr fontId="1" type="noConversion"/>
  </si>
  <si>
    <t>9  dp二分时间：0.000189304</t>
    <phoneticPr fontId="1" type="noConversion"/>
  </si>
  <si>
    <t>9  dp二分空间优化时间：0.000185013</t>
    <phoneticPr fontId="1" type="noConversion"/>
  </si>
  <si>
    <t>9  逆向dp时间：7.15256e-07</t>
    <phoneticPr fontId="1" type="noConversion"/>
  </si>
  <si>
    <t>9  朴素dp时间：0.0102782</t>
    <phoneticPr fontId="1" type="noConversion"/>
  </si>
  <si>
    <t>9  dp二分时间：0.000210047</t>
    <phoneticPr fontId="1" type="noConversion"/>
  </si>
  <si>
    <t>9  dp二分空间优化时间：0.000206232</t>
    <phoneticPr fontId="1" type="noConversion"/>
  </si>
  <si>
    <t>10  朴素dp时间：0.0127115</t>
    <phoneticPr fontId="1" type="noConversion"/>
  </si>
  <si>
    <t>10  dp二分时间：0.000336647</t>
    <phoneticPr fontId="1" type="noConversion"/>
  </si>
  <si>
    <t>10  dp二分空间优化时间：0.000368595</t>
    <phoneticPr fontId="1" type="noConversion"/>
  </si>
  <si>
    <t>10  逆向dp时间：1.19209e-06</t>
    <phoneticPr fontId="1" type="noConversion"/>
  </si>
  <si>
    <t>10  朴素dp时间：0.0179141</t>
    <phoneticPr fontId="1" type="noConversion"/>
  </si>
  <si>
    <t>10  dp二分时间：0.000367641</t>
    <phoneticPr fontId="1" type="noConversion"/>
  </si>
  <si>
    <t>10  dp二分空间优化时间：0.00036931</t>
    <phoneticPr fontId="1" type="noConversion"/>
  </si>
  <si>
    <t>10  逆向dp时间：1.90735e-06</t>
    <phoneticPr fontId="1" type="noConversion"/>
  </si>
  <si>
    <t>10  朴素dp时间：0.0214999</t>
    <phoneticPr fontId="1" type="noConversion"/>
  </si>
  <si>
    <t>10  dp二分时间：0.00027585</t>
    <phoneticPr fontId="1" type="noConversion"/>
  </si>
  <si>
    <t>10  dp二分空间优化时间：0.000287533</t>
    <phoneticPr fontId="1" type="noConversion"/>
  </si>
  <si>
    <t>10  逆向dp时间：9.53674e-07</t>
    <phoneticPr fontId="1" type="noConversion"/>
  </si>
  <si>
    <t>10  朴素dp时间：0.0203331</t>
    <phoneticPr fontId="1" type="noConversion"/>
  </si>
  <si>
    <t>10  dp二分时间：0.000395298</t>
    <phoneticPr fontId="1" type="noConversion"/>
  </si>
  <si>
    <t>10  dp二分空间优化时间：0.000385284</t>
    <phoneticPr fontId="1" type="noConversion"/>
  </si>
  <si>
    <t>10  朴素dp时间：0.0243669</t>
    <phoneticPr fontId="1" type="noConversion"/>
  </si>
  <si>
    <t>10  dp二分时间：0.00032568</t>
    <phoneticPr fontId="1" type="noConversion"/>
  </si>
  <si>
    <t>10  dp二分空间优化时间：0.000315666</t>
    <phoneticPr fontId="1" type="noConversion"/>
  </si>
  <si>
    <t>10  朴素dp时间：0.0260608</t>
    <phoneticPr fontId="1" type="noConversion"/>
  </si>
  <si>
    <t>10  dp二分时间：0.000344276</t>
    <phoneticPr fontId="1" type="noConversion"/>
  </si>
  <si>
    <t>10  朴素dp时间：0.0292251</t>
    <phoneticPr fontId="1" type="noConversion"/>
  </si>
  <si>
    <t>10  dp二分时间：0.000366449</t>
    <phoneticPr fontId="1" type="noConversion"/>
  </si>
  <si>
    <t>10  dp二分空间优化时间：0.000356674</t>
    <phoneticPr fontId="1" type="noConversion"/>
  </si>
  <si>
    <t>10  朴素dp时间：0.034121</t>
    <phoneticPr fontId="1" type="noConversion"/>
  </si>
  <si>
    <t>10  dp二分时间：0.000389814</t>
    <phoneticPr fontId="1" type="noConversion"/>
  </si>
  <si>
    <t>10  dp二分空间优化时间：0.000375986</t>
    <phoneticPr fontId="1" type="noConversion"/>
  </si>
  <si>
    <t>10  朴素dp时间：0.0371151</t>
    <phoneticPr fontId="1" type="noConversion"/>
  </si>
  <si>
    <t>10  dp二分时间：0.00041604</t>
    <phoneticPr fontId="1" type="noConversion"/>
  </si>
  <si>
    <t>10  dp二分空间优化时间：0.000401497</t>
    <phoneticPr fontId="1" type="noConversion"/>
  </si>
  <si>
    <t>10  逆向dp时间：7.15256e-07</t>
    <phoneticPr fontId="1" type="noConversion"/>
  </si>
  <si>
    <t>10  朴素dp时间：0.0405519</t>
    <phoneticPr fontId="1" type="noConversion"/>
  </si>
  <si>
    <t>10  dp二分时间：0.000426769</t>
    <phoneticPr fontId="1" type="noConversion"/>
  </si>
  <si>
    <t>10  dp二分空间优化时间：0.000432968</t>
    <phoneticPr fontId="1" type="noConversion"/>
  </si>
  <si>
    <t>e: 20 f: 5000</t>
  </si>
  <si>
    <t>e: 20 f: 10000</t>
  </si>
  <si>
    <t>e: 20 f: 15000</t>
  </si>
  <si>
    <t>e: 20 f: 20000</t>
  </si>
  <si>
    <t>e: 20 f: 25000</t>
  </si>
  <si>
    <t>e: 20 f: 30000</t>
  </si>
  <si>
    <t>e: 20 f: 35000</t>
  </si>
  <si>
    <t>e: 20 f: 40000</t>
  </si>
  <si>
    <t>e: 20 f: 45000</t>
  </si>
  <si>
    <t>e: 20 f: 50000</t>
  </si>
  <si>
    <t>e: 1 f: 10000</t>
  </si>
  <si>
    <t>10000  dp二分时间：0</t>
  </si>
  <si>
    <t>10000  dp二分空间优化时间：0</t>
  </si>
  <si>
    <t>e: 5 f: 10000</t>
  </si>
  <si>
    <t>e: 10 f: 10000</t>
  </si>
  <si>
    <t>e: 15 f: 10000</t>
  </si>
  <si>
    <t>e: 25 f: 10000</t>
  </si>
  <si>
    <t>e: 30 f: 10000</t>
  </si>
  <si>
    <t>e: 35 f: 10000</t>
  </si>
  <si>
    <t>e: 40 f: 10000</t>
  </si>
  <si>
    <t>e: 45 f: 10000</t>
  </si>
  <si>
    <t>e: 50 f: 10000</t>
  </si>
  <si>
    <t>e: 55 f: 10000</t>
  </si>
  <si>
    <t>e: 60 f: 10000</t>
  </si>
  <si>
    <t>e: 65 f: 10000</t>
  </si>
  <si>
    <t>e: 70 f: 10000</t>
  </si>
  <si>
    <t>e: 75 f: 10000</t>
  </si>
  <si>
    <t>e: 80 f: 10000</t>
  </si>
  <si>
    <t>e: 85 f: 10000</t>
  </si>
  <si>
    <t>e: 90 f: 10000</t>
  </si>
  <si>
    <t>e: 95 f: 10000</t>
  </si>
  <si>
    <t>e: 100 f: 10000</t>
  </si>
  <si>
    <t>e: 20 f: 55000</t>
  </si>
  <si>
    <t>2147483647  朴素dp时间：0</t>
  </si>
  <si>
    <t>e: 20 f: 60000</t>
  </si>
  <si>
    <t>e: 20 f: 65000</t>
  </si>
  <si>
    <t>2147483647  朴素dp时间：2.38419e-07</t>
  </si>
  <si>
    <t>e: 20 f: 70000</t>
  </si>
  <si>
    <t>e: 20 f: 75000</t>
  </si>
  <si>
    <t>e: 20 f: 80000</t>
  </si>
  <si>
    <t>e: 20 f: 85000</t>
  </si>
  <si>
    <t>e: 20 f: 90000</t>
  </si>
  <si>
    <t>e: 20 f: 95000</t>
  </si>
  <si>
    <t>e: 20 f: 100000</t>
  </si>
  <si>
    <t>e: 50 f: 500000</t>
  </si>
  <si>
    <t>e: 50 f: 1000000</t>
  </si>
  <si>
    <t>e: 50 f: 1500000</t>
  </si>
  <si>
    <t>e: 50 f: 2000000</t>
  </si>
  <si>
    <t>e: 50 f: 2500000</t>
  </si>
  <si>
    <t>e: 50 f: 3000000</t>
  </si>
  <si>
    <t>e: 50 f: 3500000</t>
  </si>
  <si>
    <t>e: 50 f: 4000000</t>
  </si>
  <si>
    <t>e: 50 f: 4500000</t>
  </si>
  <si>
    <t>e: 50 f: 5000000</t>
  </si>
  <si>
    <t>e: 50 f: 5500000</t>
  </si>
  <si>
    <t>23  dp二分时间：6.67565</t>
  </si>
  <si>
    <t>13  朴素dp时间：1.11432</t>
    <phoneticPr fontId="1" type="noConversion"/>
  </si>
  <si>
    <t>13  dp二分时间：0.00232863</t>
    <phoneticPr fontId="1" type="noConversion"/>
  </si>
  <si>
    <t>13  dp二分空间优化时间：0.00244164</t>
    <phoneticPr fontId="1" type="noConversion"/>
  </si>
  <si>
    <t>13  逆向dp时间：1.43051e-06</t>
    <phoneticPr fontId="1" type="noConversion"/>
  </si>
  <si>
    <t>14  朴素dp时间：4.04241</t>
    <phoneticPr fontId="1" type="noConversion"/>
  </si>
  <si>
    <t>14  dp二分时间：0.004812</t>
    <phoneticPr fontId="1" type="noConversion"/>
  </si>
  <si>
    <t>14  dp二分空间优化时间：0.00479412</t>
    <phoneticPr fontId="1" type="noConversion"/>
  </si>
  <si>
    <t>14  逆向dp时间：1.66893e-06</t>
    <phoneticPr fontId="1" type="noConversion"/>
  </si>
  <si>
    <t>14  朴素dp时间：9.42411</t>
    <phoneticPr fontId="1" type="noConversion"/>
  </si>
  <si>
    <t>14  dp二分时间：0.00794506</t>
    <phoneticPr fontId="1" type="noConversion"/>
  </si>
  <si>
    <t>14  dp二分空间优化时间：0.00800633</t>
    <phoneticPr fontId="1" type="noConversion"/>
  </si>
  <si>
    <t>14  逆向dp时间：1.43051e-06</t>
    <phoneticPr fontId="1" type="noConversion"/>
  </si>
  <si>
    <t>15  朴素dp时间：16.5732</t>
    <phoneticPr fontId="1" type="noConversion"/>
  </si>
  <si>
    <t>15  dp二分时间：0.0101378</t>
    <phoneticPr fontId="1" type="noConversion"/>
  </si>
  <si>
    <t>15  dp二分空间优化时间：0.0100718</t>
    <phoneticPr fontId="1" type="noConversion"/>
  </si>
  <si>
    <t>15  逆向dp时间：1.43051e-06</t>
    <phoneticPr fontId="1" type="noConversion"/>
  </si>
  <si>
    <t>15  朴素dp时间：26.2279</t>
    <phoneticPr fontId="1" type="noConversion"/>
  </si>
  <si>
    <t>15  dp二分时间：0.0126178</t>
    <phoneticPr fontId="1" type="noConversion"/>
  </si>
  <si>
    <t>15  dp二分空间优化时间：0.0123906</t>
    <phoneticPr fontId="1" type="noConversion"/>
  </si>
  <si>
    <t>15  逆向dp时间：1.19209e-06</t>
    <phoneticPr fontId="1" type="noConversion"/>
  </si>
  <si>
    <t>15  朴素dp时间：37.5062</t>
    <phoneticPr fontId="1" type="noConversion"/>
  </si>
  <si>
    <t>15  dp二分时间：0.0151219</t>
    <phoneticPr fontId="1" type="noConversion"/>
  </si>
  <si>
    <t>15  dp二分空间优化时间：0.0149846</t>
    <phoneticPr fontId="1" type="noConversion"/>
  </si>
  <si>
    <t>15  逆向dp时间：1.66893e-06</t>
    <phoneticPr fontId="1" type="noConversion"/>
  </si>
  <si>
    <t>16  朴素dp时间：52.1217</t>
    <phoneticPr fontId="1" type="noConversion"/>
  </si>
  <si>
    <t>16  dp二分时间：0.0179403</t>
    <phoneticPr fontId="1" type="noConversion"/>
  </si>
  <si>
    <t>16  dp二分空间优化时间：0.0179267</t>
    <phoneticPr fontId="1" type="noConversion"/>
  </si>
  <si>
    <t>16  逆向dp时间：1.90735e-06</t>
    <phoneticPr fontId="1" type="noConversion"/>
  </si>
  <si>
    <t>16  朴素dp时间：67.4378</t>
    <phoneticPr fontId="1" type="noConversion"/>
  </si>
  <si>
    <t>16  dp二分时间：0.0205355</t>
    <phoneticPr fontId="1" type="noConversion"/>
  </si>
  <si>
    <t>16  dp二分空间优化时间：0.0202703</t>
    <phoneticPr fontId="1" type="noConversion"/>
  </si>
  <si>
    <t>16  逆向dp时间：1.66893e-06</t>
    <phoneticPr fontId="1" type="noConversion"/>
  </si>
  <si>
    <t>16  朴素dp时间：83.9391</t>
    <phoneticPr fontId="1" type="noConversion"/>
  </si>
  <si>
    <t>16  dp二分时间：0.0233307</t>
    <phoneticPr fontId="1" type="noConversion"/>
  </si>
  <si>
    <t>16  dp二分空间优化时间：0.0231628</t>
    <phoneticPr fontId="1" type="noConversion"/>
  </si>
  <si>
    <t>16  逆向dp时间：1.43051e-06</t>
    <phoneticPr fontId="1" type="noConversion"/>
  </si>
  <si>
    <t>16  朴素dp时间：104.44</t>
    <phoneticPr fontId="1" type="noConversion"/>
  </si>
  <si>
    <t>16  dp二分时间：0.0259595</t>
    <phoneticPr fontId="1" type="noConversion"/>
  </si>
  <si>
    <t>16  dp二分空间优化时间：0.0257022</t>
    <phoneticPr fontId="1" type="noConversion"/>
  </si>
  <si>
    <t>16  dp二分时间：0.0288446</t>
    <phoneticPr fontId="1" type="noConversion"/>
  </si>
  <si>
    <t>16  dp二分空间优化时间：0.0285523</t>
    <phoneticPr fontId="1" type="noConversion"/>
  </si>
  <si>
    <t>16  dp二分时间：0.0311351</t>
    <phoneticPr fontId="1" type="noConversion"/>
  </si>
  <si>
    <t>16  dp二分空间优化时间：0.0322299</t>
    <phoneticPr fontId="1" type="noConversion"/>
  </si>
  <si>
    <t>16  dp二分时间：0.0344276</t>
    <phoneticPr fontId="1" type="noConversion"/>
  </si>
  <si>
    <t>16  dp二分空间优化时间：0.0347219</t>
    <phoneticPr fontId="1" type="noConversion"/>
  </si>
  <si>
    <t>17  dp二分时间：0.0367725</t>
    <phoneticPr fontId="1" type="noConversion"/>
  </si>
  <si>
    <t>17  dp二分空间优化时间：0.0401652</t>
    <phoneticPr fontId="1" type="noConversion"/>
  </si>
  <si>
    <t>17  逆向dp时间：2.38419e-06</t>
    <phoneticPr fontId="1" type="noConversion"/>
  </si>
  <si>
    <t>17  dp二分时间：0.0436189</t>
    <phoneticPr fontId="1" type="noConversion"/>
  </si>
  <si>
    <t>17  dp二分空间优化时间：0.0395281</t>
    <phoneticPr fontId="1" type="noConversion"/>
  </si>
  <si>
    <t>17  逆向dp时间：2.14577e-06</t>
    <phoneticPr fontId="1" type="noConversion"/>
  </si>
  <si>
    <t>17  dp二分时间：0.0416791</t>
    <phoneticPr fontId="1" type="noConversion"/>
  </si>
  <si>
    <t>17  dp二分空间优化时间：0.0440042</t>
    <phoneticPr fontId="1" type="noConversion"/>
  </si>
  <si>
    <t>17  逆向dp时间：1.90735e-06</t>
    <phoneticPr fontId="1" type="noConversion"/>
  </si>
  <si>
    <t>17  dp二分时间：0.0448179</t>
    <phoneticPr fontId="1" type="noConversion"/>
  </si>
  <si>
    <t>17  dp二分空间优化时间：0.0464225</t>
    <phoneticPr fontId="1" type="noConversion"/>
  </si>
  <si>
    <t>17  逆向dp时间：1.66893e-06</t>
    <phoneticPr fontId="1" type="noConversion"/>
  </si>
  <si>
    <t>17  dp二分时间：0.0516951</t>
    <phoneticPr fontId="1" type="noConversion"/>
  </si>
  <si>
    <t>17  dp二分空间优化时间：0.0508413</t>
    <phoneticPr fontId="1" type="noConversion"/>
  </si>
  <si>
    <t>17  dp二分时间：0.0516646</t>
    <phoneticPr fontId="1" type="noConversion"/>
  </si>
  <si>
    <t>17  dp二分空间优化时间：0.050822</t>
    <phoneticPr fontId="1" type="noConversion"/>
  </si>
  <si>
    <t>17  dp二分时间：0.0639222</t>
    <phoneticPr fontId="1" type="noConversion"/>
  </si>
  <si>
    <t>17  dp二分空间优化时间：0.0538554</t>
    <phoneticPr fontId="1" type="noConversion"/>
  </si>
  <si>
    <t>e: 50 f: 6000000</t>
  </si>
  <si>
    <t>23  逆向dp时间：5.24521e-06</t>
  </si>
  <si>
    <t>e: 50 f: 6500000</t>
  </si>
  <si>
    <t>e: 50 f: 7000000</t>
  </si>
  <si>
    <t>e: 50 f: 7500000</t>
  </si>
  <si>
    <t>e: 50 f: 8000000</t>
  </si>
  <si>
    <t>e: 50 f: 8500000</t>
  </si>
  <si>
    <t>e: 50 f: 9000000</t>
  </si>
  <si>
    <t>e: 50 f: 9500000</t>
  </si>
  <si>
    <t>e: 50 f: 10000000</t>
  </si>
  <si>
    <t>19  dp二分时间：0.579522</t>
    <phoneticPr fontId="1" type="noConversion"/>
  </si>
  <si>
    <t>19  dp二分空间优化时间：0.576205</t>
    <phoneticPr fontId="1" type="noConversion"/>
  </si>
  <si>
    <t>19  逆向dp时间：4.52995e-06</t>
    <phoneticPr fontId="1" type="noConversion"/>
  </si>
  <si>
    <t>20  dp二分时间：1.18</t>
    <phoneticPr fontId="1" type="noConversion"/>
  </si>
  <si>
    <t>20  dp二分空间优化时间：1.1687</t>
    <phoneticPr fontId="1" type="noConversion"/>
  </si>
  <si>
    <t>20  逆向dp时间：4.52995e-06</t>
    <phoneticPr fontId="1" type="noConversion"/>
  </si>
  <si>
    <t>21  dp二分时间：1.75707</t>
    <phoneticPr fontId="1" type="noConversion"/>
  </si>
  <si>
    <t>21  dp二分空间优化时间：1.76007</t>
    <phoneticPr fontId="1" type="noConversion"/>
  </si>
  <si>
    <t>21  逆向dp时间：5.00679e-06</t>
    <phoneticPr fontId="1" type="noConversion"/>
  </si>
  <si>
    <t>21  dp二分时间：2.43281</t>
    <phoneticPr fontId="1" type="noConversion"/>
  </si>
  <si>
    <t>21  dp二分空间优化时间：2.39812</t>
    <phoneticPr fontId="1" type="noConversion"/>
  </si>
  <si>
    <t>22  dp二分时间：3</t>
    <phoneticPr fontId="1" type="noConversion"/>
  </si>
  <si>
    <t>22  dp二分空间优化时间：2.98002</t>
    <phoneticPr fontId="1" type="noConversion"/>
  </si>
  <si>
    <t>22  逆向dp时间：5.24521e-06</t>
    <phoneticPr fontId="1" type="noConversion"/>
  </si>
  <si>
    <t>22  dp二分时间：3.63503</t>
    <phoneticPr fontId="1" type="noConversion"/>
  </si>
  <si>
    <t>22  dp二分空间优化时间：3.52383</t>
    <phoneticPr fontId="1" type="noConversion"/>
  </si>
  <si>
    <t>22  dp二分时间：4.18641</t>
    <phoneticPr fontId="1" type="noConversion"/>
  </si>
  <si>
    <t>22  dp二分空间优化时间：4.1599</t>
    <phoneticPr fontId="1" type="noConversion"/>
  </si>
  <si>
    <t>22  逆向dp时间：7.39098e-06</t>
    <phoneticPr fontId="1" type="noConversion"/>
  </si>
  <si>
    <t>22  dp二分时间：4.8672</t>
    <phoneticPr fontId="1" type="noConversion"/>
  </si>
  <si>
    <t>22  dp二分空间优化时间：4.75825</t>
    <phoneticPr fontId="1" type="noConversion"/>
  </si>
  <si>
    <t>23  dp二分时间：5.48988</t>
    <phoneticPr fontId="1" type="noConversion"/>
  </si>
  <si>
    <t>23  dp二分空间优化时间：5.40823</t>
    <phoneticPr fontId="1" type="noConversion"/>
  </si>
  <si>
    <t>23  逆向dp时间：6.67572e-06</t>
    <phoneticPr fontId="1" type="noConversion"/>
  </si>
  <si>
    <t>23  dp二分时间：6.04726</t>
    <phoneticPr fontId="1" type="noConversion"/>
  </si>
  <si>
    <t>23  dp二分空间优化时间：6.00923</t>
    <phoneticPr fontId="1" type="noConversion"/>
  </si>
  <si>
    <t>23  逆向dp时间：5.48363e-06</t>
    <phoneticPr fontId="1" type="noConversion"/>
  </si>
  <si>
    <t>23  dp二分空间优化时间：6.63063</t>
    <phoneticPr fontId="1" type="noConversion"/>
  </si>
  <si>
    <t>23  逆向dp时间：6.91414e-06</t>
    <phoneticPr fontId="1" type="noConversion"/>
  </si>
  <si>
    <t>23  dp二分空间优化时间：7.22889</t>
    <phoneticPr fontId="1" type="noConversion"/>
  </si>
  <si>
    <t>23  逆向dp时间：5.00679e-06</t>
    <phoneticPr fontId="1" type="noConversion"/>
  </si>
  <si>
    <t>23  dp二分空间优化时间：7.90976</t>
    <phoneticPr fontId="1" type="noConversion"/>
  </si>
  <si>
    <t>23  dp二分空间优化时间：8.45485</t>
    <phoneticPr fontId="1" type="noConversion"/>
  </si>
  <si>
    <t>23  dp二分空间优化时间：9.10296</t>
    <phoneticPr fontId="1" type="noConversion"/>
  </si>
  <si>
    <t>23  dp二分空间优化时间：9.6711</t>
    <phoneticPr fontId="1" type="noConversion"/>
  </si>
  <si>
    <t>24  dp二分空间优化时间：10.2706</t>
    <phoneticPr fontId="1" type="noConversion"/>
  </si>
  <si>
    <t>24  逆向dp时间：5.72205e-06</t>
    <phoneticPr fontId="1" type="noConversion"/>
  </si>
  <si>
    <t>24  dp二分空间优化时间：10.8571</t>
    <phoneticPr fontId="1" type="noConversion"/>
  </si>
  <si>
    <t>24  逆向dp时间：5.48363e-06</t>
    <phoneticPr fontId="1" type="noConversion"/>
  </si>
  <si>
    <t>24  dp二分空间优化时间：11.5023</t>
    <phoneticPr fontId="1" type="noConversion"/>
  </si>
  <si>
    <t>24  dp二分空间优化时间：12.1887</t>
    <phoneticPr fontId="1" type="noConversion"/>
  </si>
  <si>
    <t>f=10000</t>
    <phoneticPr fontId="1" type="noConversion"/>
  </si>
  <si>
    <t>10000  朴素dp时间：2.38419e-07</t>
    <phoneticPr fontId="1" type="noConversion"/>
  </si>
  <si>
    <t>10000  逆向dp时间：2.38419e-07</t>
    <phoneticPr fontId="1" type="noConversion"/>
  </si>
  <si>
    <t>18  朴素dp时间：0.869906</t>
    <phoneticPr fontId="1" type="noConversion"/>
  </si>
  <si>
    <t>18  dp二分时间：0.00197792</t>
    <phoneticPr fontId="1" type="noConversion"/>
  </si>
  <si>
    <t>18  dp二分空间优化时间：0.00201583</t>
    <phoneticPr fontId="1" type="noConversion"/>
  </si>
  <si>
    <t>17  逆向dp时间：7.15256e-07</t>
    <phoneticPr fontId="1" type="noConversion"/>
  </si>
  <si>
    <t>14  朴素dp时间：1.96029</t>
    <phoneticPr fontId="1" type="noConversion"/>
  </si>
  <si>
    <t>14  dp二分时间：0.00311875</t>
    <phoneticPr fontId="1" type="noConversion"/>
  </si>
  <si>
    <t>14  dp二分空间优化时间：0.00297737</t>
    <phoneticPr fontId="1" type="noConversion"/>
  </si>
  <si>
    <t>14  逆向dp时间：1.19209e-06</t>
    <phoneticPr fontId="1" type="noConversion"/>
  </si>
  <si>
    <t>14  朴素dp时间：3.03096</t>
    <phoneticPr fontId="1" type="noConversion"/>
  </si>
  <si>
    <t>14  dp二分时间：0.00393772</t>
    <phoneticPr fontId="1" type="noConversion"/>
  </si>
  <si>
    <t>14  dp二分空间优化时间：0.00388575</t>
    <phoneticPr fontId="1" type="noConversion"/>
  </si>
  <si>
    <t>14  朴素dp时间：4.19858</t>
    <phoneticPr fontId="1" type="noConversion"/>
  </si>
  <si>
    <t>14  dp二分时间：0.00485229</t>
    <phoneticPr fontId="1" type="noConversion"/>
  </si>
  <si>
    <t>14  dp二分空间优化时间：0.00486183</t>
    <phoneticPr fontId="1" type="noConversion"/>
  </si>
  <si>
    <t>14  朴素dp时间：5.28588</t>
    <phoneticPr fontId="1" type="noConversion"/>
  </si>
  <si>
    <t>14  dp二分时间：0.00576138</t>
    <phoneticPr fontId="1" type="noConversion"/>
  </si>
  <si>
    <t>14  dp二分空间优化时间：0.00558186</t>
    <phoneticPr fontId="1" type="noConversion"/>
  </si>
  <si>
    <t>14  朴素dp时间：6.34303</t>
    <phoneticPr fontId="1" type="noConversion"/>
  </si>
  <si>
    <t>14  dp二分时间：0.0066843</t>
    <phoneticPr fontId="1" type="noConversion"/>
  </si>
  <si>
    <t>14  dp二分空间优化时间：0.00652027</t>
    <phoneticPr fontId="1" type="noConversion"/>
  </si>
  <si>
    <t>14  朴素dp时间：7.50346</t>
    <phoneticPr fontId="1" type="noConversion"/>
  </si>
  <si>
    <t>14  dp二分时间：0.00754523</t>
    <phoneticPr fontId="1" type="noConversion"/>
  </si>
  <si>
    <t>14  dp二分空间优化时间：0.00744414</t>
    <phoneticPr fontId="1" type="noConversion"/>
  </si>
  <si>
    <t>14  逆向dp时间：1.90735e-06</t>
    <phoneticPr fontId="1" type="noConversion"/>
  </si>
  <si>
    <t>14  朴素dp时间：8.63804</t>
    <phoneticPr fontId="1" type="noConversion"/>
  </si>
  <si>
    <t>14  dp二分时间：0.00847077</t>
    <phoneticPr fontId="1" type="noConversion"/>
  </si>
  <si>
    <t>14  dp二分空间优化时间：0.00852942</t>
    <phoneticPr fontId="1" type="noConversion"/>
  </si>
  <si>
    <t>14  逆向dp时间：2.38419e-06</t>
    <phoneticPr fontId="1" type="noConversion"/>
  </si>
  <si>
    <t>14  朴素dp时间：9.77843</t>
    <phoneticPr fontId="1" type="noConversion"/>
  </si>
  <si>
    <t>14  dp二分时间：0.00947118</t>
    <phoneticPr fontId="1" type="noConversion"/>
  </si>
  <si>
    <t>14  dp二分空间优化时间：0.00922632</t>
    <phoneticPr fontId="1" type="noConversion"/>
  </si>
  <si>
    <t>14  逆向dp时间：2.86102e-06</t>
    <phoneticPr fontId="1" type="noConversion"/>
  </si>
  <si>
    <t>14  朴素dp时间：10.6908</t>
    <phoneticPr fontId="1" type="noConversion"/>
  </si>
  <si>
    <t>14  dp二分时间：0.010489</t>
    <phoneticPr fontId="1" type="noConversion"/>
  </si>
  <si>
    <t>14  dp二分空间优化时间：0.0102804</t>
    <phoneticPr fontId="1" type="noConversion"/>
  </si>
  <si>
    <t>14  逆向dp时间：3.09944e-06</t>
    <phoneticPr fontId="1" type="noConversion"/>
  </si>
  <si>
    <t>14  朴素dp时间：12.0723</t>
    <phoneticPr fontId="1" type="noConversion"/>
  </si>
  <si>
    <t>14  dp二分时间：0.0158739</t>
    <phoneticPr fontId="1" type="noConversion"/>
  </si>
  <si>
    <t>14  dp二分空间优化时间：0.0151525</t>
    <phoneticPr fontId="1" type="noConversion"/>
  </si>
  <si>
    <t>14  逆向dp时间：4.52995e-06</t>
    <phoneticPr fontId="1" type="noConversion"/>
  </si>
  <si>
    <t>14  朴素dp时间：13.0264</t>
    <phoneticPr fontId="1" type="noConversion"/>
  </si>
  <si>
    <t>14  dp二分时间：0.012085</t>
    <phoneticPr fontId="1" type="noConversion"/>
  </si>
  <si>
    <t>14  dp二分空间优化时间：0.0117903</t>
    <phoneticPr fontId="1" type="noConversion"/>
  </si>
  <si>
    <t>14  逆向dp时间：3.33786e-06</t>
    <phoneticPr fontId="1" type="noConversion"/>
  </si>
  <si>
    <t>14  朴素dp时间：14.1075</t>
    <phoneticPr fontId="1" type="noConversion"/>
  </si>
  <si>
    <t>14  dp二分时间：0.0138917</t>
    <phoneticPr fontId="1" type="noConversion"/>
  </si>
  <si>
    <t>14  dp二分空间优化时间：0.0129757</t>
    <phoneticPr fontId="1" type="noConversion"/>
  </si>
  <si>
    <t>14  逆向dp时间：4.05312e-06</t>
    <phoneticPr fontId="1" type="noConversion"/>
  </si>
  <si>
    <t>14  朴素dp时间：14.959</t>
    <phoneticPr fontId="1" type="noConversion"/>
  </si>
  <si>
    <t>14  dp二分时间：0.0139968</t>
    <phoneticPr fontId="1" type="noConversion"/>
  </si>
  <si>
    <t>14  dp二分空间优化时间：0.0136766</t>
    <phoneticPr fontId="1" type="noConversion"/>
  </si>
  <si>
    <t>14  逆向dp时间：4.29153e-06</t>
    <phoneticPr fontId="1" type="noConversion"/>
  </si>
  <si>
    <t>14  朴素dp时间：16.348</t>
    <phoneticPr fontId="1" type="noConversion"/>
  </si>
  <si>
    <t>14  dp二分时间：0.0148191</t>
    <phoneticPr fontId="1" type="noConversion"/>
  </si>
  <si>
    <t>14  dp二分空间优化时间：0.0146818</t>
    <phoneticPr fontId="1" type="noConversion"/>
  </si>
  <si>
    <t>14  朴素dp时间：17.3593</t>
    <phoneticPr fontId="1" type="noConversion"/>
  </si>
  <si>
    <t>14  dp二分时间：0.0156462</t>
    <phoneticPr fontId="1" type="noConversion"/>
  </si>
  <si>
    <t>14  dp二分空间优化时间：0.0153582</t>
    <phoneticPr fontId="1" type="noConversion"/>
  </si>
  <si>
    <t>14  朴素dp时间：18.6141</t>
    <phoneticPr fontId="1" type="noConversion"/>
  </si>
  <si>
    <t>14  dp二分时间：0.0176346</t>
    <phoneticPr fontId="1" type="noConversion"/>
  </si>
  <si>
    <t>14  dp二分空间优化时间：0.0161848</t>
    <phoneticPr fontId="1" type="noConversion"/>
  </si>
  <si>
    <t>14  逆向dp时间：5.00679e-06</t>
    <phoneticPr fontId="1" type="noConversion"/>
  </si>
  <si>
    <t>14  朴素dp时间：19.6613</t>
    <phoneticPr fontId="1" type="noConversion"/>
  </si>
  <si>
    <t>14  dp二分时间：0.0176668</t>
    <phoneticPr fontId="1" type="noConversion"/>
  </si>
  <si>
    <t>14  dp二分空间优化时间：0.0172238</t>
    <phoneticPr fontId="1" type="noConversion"/>
  </si>
  <si>
    <t>14  逆向dp时间：5.24521e-06</t>
    <phoneticPr fontId="1" type="noConversion"/>
  </si>
  <si>
    <t>14  朴素dp时间：20.8433</t>
    <phoneticPr fontId="1" type="noConversion"/>
  </si>
  <si>
    <t>14  dp二分时间：0.0192318</t>
    <phoneticPr fontId="1" type="noConversion"/>
  </si>
  <si>
    <t>14  dp二分空间优化时间：0.0179515</t>
    <phoneticPr fontId="1" type="noConversion"/>
  </si>
  <si>
    <t>14  逆向dp时间：7.39098e-06</t>
    <phoneticPr fontId="1" type="noConversion"/>
  </si>
  <si>
    <t>14  朴素dp时间：22.0771</t>
    <phoneticPr fontId="1" type="noConversion"/>
  </si>
  <si>
    <t>14  dp二分时间：0.0192261</t>
    <phoneticPr fontId="1" type="noConversion"/>
  </si>
  <si>
    <t>14  dp二分空间优化时间：0.0191033</t>
    <phoneticPr fontId="1" type="noConversion"/>
  </si>
  <si>
    <t>14  逆向dp时间：5.72205e-06</t>
    <phoneticPr fontId="1" type="noConversion"/>
  </si>
  <si>
    <t>蛮力</t>
    <phoneticPr fontId="1" type="noConversion"/>
  </si>
  <si>
    <t>e=3</t>
    <phoneticPr fontId="1" type="noConversion"/>
  </si>
  <si>
    <t>e: 3 f: 1</t>
  </si>
  <si>
    <t>e: 3 f: 2</t>
  </si>
  <si>
    <t>e: 3 f: 3</t>
  </si>
  <si>
    <t>e: 3 f: 4</t>
  </si>
  <si>
    <t>e: 3 f: 5</t>
  </si>
  <si>
    <t>e: 3 f: 6</t>
  </si>
  <si>
    <t>e: 3 f: 7</t>
  </si>
  <si>
    <t>e: 3 f: 8</t>
  </si>
  <si>
    <t>e: 3 f: 9</t>
  </si>
  <si>
    <t>e: 3 f: 10</t>
  </si>
  <si>
    <t>e: 3 f: 11</t>
  </si>
  <si>
    <t>e: 3 f: 12</t>
  </si>
  <si>
    <t>e: 3 f: 13</t>
  </si>
  <si>
    <t>e: 3 f: 14</t>
  </si>
  <si>
    <t>e: 3 f: 15</t>
  </si>
  <si>
    <t>e: 3 f: 16</t>
  </si>
  <si>
    <t>e: 3 f: 17</t>
  </si>
  <si>
    <t>e: 3 f: 18</t>
  </si>
  <si>
    <t>e: 3 f: 19</t>
  </si>
  <si>
    <t>e: 3 f: 20</t>
  </si>
  <si>
    <t>e: 3 f: 21</t>
  </si>
  <si>
    <t>e: 3 f: 22</t>
  </si>
  <si>
    <t>e: 3 f: 23</t>
  </si>
  <si>
    <t>e: 3 f: 24</t>
  </si>
  <si>
    <t>e: 3 f: 25</t>
  </si>
  <si>
    <t>e: 3 f: 26</t>
  </si>
  <si>
    <t>e: 3 f: 27</t>
  </si>
  <si>
    <t>e: 3 f: 28</t>
  </si>
  <si>
    <t>e: 3 f: 29</t>
  </si>
  <si>
    <t>1蛮力时间：7.15256e-07</t>
    <phoneticPr fontId="1" type="noConversion"/>
  </si>
  <si>
    <t>2蛮力时间：2.38419e-07</t>
    <phoneticPr fontId="1" type="noConversion"/>
  </si>
  <si>
    <t>3蛮力时间：4.76837e-07</t>
    <phoneticPr fontId="1" type="noConversion"/>
  </si>
  <si>
    <t>3蛮力时间：1.19209e-06</t>
    <phoneticPr fontId="1" type="noConversion"/>
  </si>
  <si>
    <t>3蛮力时间：1.43051e-06</t>
    <phoneticPr fontId="1" type="noConversion"/>
  </si>
  <si>
    <t>3蛮力时间：3.33786e-06</t>
    <phoneticPr fontId="1" type="noConversion"/>
  </si>
  <si>
    <t>4蛮力时间：7.86781e-06</t>
    <phoneticPr fontId="1" type="noConversion"/>
  </si>
  <si>
    <t>4蛮力时间：1.62125e-05</t>
    <phoneticPr fontId="1" type="noConversion"/>
  </si>
  <si>
    <t>4蛮力时间：3.67165e-05</t>
    <phoneticPr fontId="1" type="noConversion"/>
  </si>
  <si>
    <t>4蛮力时间：8.05855e-05</t>
    <phoneticPr fontId="1" type="noConversion"/>
  </si>
  <si>
    <t>4蛮力时间：0.000192881</t>
    <phoneticPr fontId="1" type="noConversion"/>
  </si>
  <si>
    <t>4蛮力时间：0.000380754</t>
    <phoneticPr fontId="1" type="noConversion"/>
  </si>
  <si>
    <t>4蛮力时间：0.000828028</t>
    <phoneticPr fontId="1" type="noConversion"/>
  </si>
  <si>
    <t>5蛮力时间：0.00177026</t>
    <phoneticPr fontId="1" type="noConversion"/>
  </si>
  <si>
    <t>5蛮力时间：0.0043354</t>
    <phoneticPr fontId="1" type="noConversion"/>
  </si>
  <si>
    <t>5蛮力时间：0.00832963</t>
    <phoneticPr fontId="1" type="noConversion"/>
  </si>
  <si>
    <t>5蛮力时间：0.0173473</t>
    <phoneticPr fontId="1" type="noConversion"/>
  </si>
  <si>
    <t>5蛮力时间：0.040972</t>
    <phoneticPr fontId="1" type="noConversion"/>
  </si>
  <si>
    <t>5蛮力时间：0.0756168</t>
    <phoneticPr fontId="1" type="noConversion"/>
  </si>
  <si>
    <t>5蛮力时间：0.162979</t>
    <phoneticPr fontId="1" type="noConversion"/>
  </si>
  <si>
    <t>5蛮力时间：0.335649</t>
    <phoneticPr fontId="1" type="noConversion"/>
  </si>
  <si>
    <t>5蛮力时间：0.716298</t>
    <phoneticPr fontId="1" type="noConversion"/>
  </si>
  <si>
    <t>e: 3 f: 30</t>
  </si>
  <si>
    <t>5蛮力时间：1.48819</t>
    <phoneticPr fontId="1" type="noConversion"/>
  </si>
  <si>
    <t>5蛮力时间：3.09537</t>
    <phoneticPr fontId="1" type="noConversion"/>
  </si>
  <si>
    <t>6蛮力时间：6.43057</t>
    <phoneticPr fontId="1" type="noConversion"/>
  </si>
  <si>
    <t>6蛮力时间：13.4556</t>
    <phoneticPr fontId="1" type="noConversion"/>
  </si>
  <si>
    <t>6蛮力时间：28.1648</t>
    <phoneticPr fontId="1" type="noConversion"/>
  </si>
  <si>
    <t>6蛮力时间：59.0189</t>
    <phoneticPr fontId="1" type="noConversion"/>
  </si>
  <si>
    <t>6蛮力时间：120.755</t>
    <phoneticPr fontId="1" type="noConversion"/>
  </si>
  <si>
    <t>e: 1 f: 25</t>
  </si>
  <si>
    <t>e: 2 f: 25</t>
  </si>
  <si>
    <t>e: 4 f: 25</t>
  </si>
  <si>
    <t>e: 5 f: 25</t>
  </si>
  <si>
    <t>e: 6 f: 25</t>
  </si>
  <si>
    <t>f=25</t>
    <phoneticPr fontId="1" type="noConversion"/>
  </si>
  <si>
    <t>25蛮力时间：7.15256e-07</t>
    <phoneticPr fontId="1" type="noConversion"/>
  </si>
  <si>
    <t>7蛮力时间：0.250664</t>
    <phoneticPr fontId="1" type="noConversion"/>
  </si>
  <si>
    <t>5蛮力时间：3.17597</t>
    <phoneticPr fontId="1" type="noConversion"/>
  </si>
  <si>
    <t>5蛮力时间：18.4682</t>
    <phoneticPr fontId="1" type="noConversion"/>
  </si>
  <si>
    <t>5蛮力时间：70.3305</t>
    <phoneticPr fontId="1" type="noConversion"/>
  </si>
  <si>
    <t>5蛮力时间：200.778</t>
    <phoneticPr fontId="1" type="noConversion"/>
  </si>
  <si>
    <t>…</t>
    <phoneticPr fontId="1" type="noConversion"/>
  </si>
  <si>
    <t>/</t>
    <phoneticPr fontId="1" type="noConversion"/>
  </si>
  <si>
    <t>&lt;- previous</t>
    <phoneticPr fontId="1" type="noConversion"/>
  </si>
  <si>
    <t>&lt;- present</t>
    <phoneticPr fontId="1" type="noConversion"/>
  </si>
  <si>
    <t>e: 3 f: 10000000000000000</t>
  </si>
  <si>
    <t>e: 3 f: 15000000000000000</t>
  </si>
  <si>
    <t>e: 3 f: 20000000000000000</t>
  </si>
  <si>
    <t>e: 3 f: 25000000000000000</t>
  </si>
  <si>
    <t>e: 3 f: 30000000000000000</t>
  </si>
  <si>
    <t>e: 3 f: 35000000000000000</t>
  </si>
  <si>
    <t>e: 3 f: 40000000000000000</t>
  </si>
  <si>
    <t>e: 3 f: 45000000000000000</t>
  </si>
  <si>
    <t>e: 3 f: 50000000000000000</t>
  </si>
  <si>
    <t>e: 3 f: 55000000000000000</t>
  </si>
  <si>
    <t>e: 3 f: 60000000000000000</t>
  </si>
  <si>
    <t>e: 3 f: 65000000000000000</t>
  </si>
  <si>
    <t>e: 3 f: 70000000000000000</t>
  </si>
  <si>
    <t>e: 3 f: 75000000000000000</t>
  </si>
  <si>
    <t>e: 3 f: 80000000000000000</t>
  </si>
  <si>
    <t>e: 3 f: 85000000000000000</t>
  </si>
  <si>
    <t>e: 3 f: 90000000000000000</t>
  </si>
  <si>
    <t>e: 3 f: 95000000000000000</t>
  </si>
  <si>
    <t>e: 3 f: 5000000000000000</t>
    <phoneticPr fontId="1" type="noConversion"/>
  </si>
  <si>
    <t>f（10^15）</t>
    <phoneticPr fontId="1" type="noConversion"/>
  </si>
  <si>
    <t>t</t>
    <phoneticPr fontId="1" type="noConversion"/>
  </si>
  <si>
    <t>1  逆向dp时间：2.38419e-07</t>
    <phoneticPr fontId="1" type="noConversion"/>
  </si>
  <si>
    <t>310723  逆向dp时间：0.00913048</t>
    <phoneticPr fontId="1" type="noConversion"/>
  </si>
  <si>
    <t>391486  逆向dp时间：0.0103879</t>
    <phoneticPr fontId="1" type="noConversion"/>
  </si>
  <si>
    <t>448140  逆向dp时间：0.0125349</t>
    <phoneticPr fontId="1" type="noConversion"/>
  </si>
  <si>
    <t>493242  逆向dp时间：0.0133977</t>
    <phoneticPr fontId="1" type="noConversion"/>
  </si>
  <si>
    <t>531329  逆向dp时间：0.0148733</t>
    <phoneticPr fontId="1" type="noConversion"/>
  </si>
  <si>
    <t>564621  逆向dp时间：0.0147645</t>
    <phoneticPr fontId="1" type="noConversion"/>
  </si>
  <si>
    <t>594392  逆向dp时间：0.0167992</t>
    <phoneticPr fontId="1" type="noConversion"/>
  </si>
  <si>
    <t>621446  逆向dp时间：0.0188763</t>
    <phoneticPr fontId="1" type="noConversion"/>
  </si>
  <si>
    <t>646330  逆向dp时间：0.0209827</t>
    <phoneticPr fontId="1" type="noConversion"/>
  </si>
  <si>
    <t>669432  逆向dp时间：0.0199177</t>
    <phoneticPr fontId="1" type="noConversion"/>
  </si>
  <si>
    <t>691042  逆向dp时间：0.0213163</t>
    <phoneticPr fontId="1" type="noConversion"/>
  </si>
  <si>
    <t>711378  逆向dp时间：0.0212317</t>
    <phoneticPr fontId="1" type="noConversion"/>
  </si>
  <si>
    <t>730614  逆向dp时间：0.0203154</t>
    <phoneticPr fontId="1" type="noConversion"/>
  </si>
  <si>
    <t>748887  逆向dp时间：0.0219815</t>
    <phoneticPr fontId="1" type="noConversion"/>
  </si>
  <si>
    <t>766309  逆向dp时间：0.0238755</t>
    <phoneticPr fontId="1" type="noConversion"/>
  </si>
  <si>
    <t>782973  逆向dp时间：0.0221703</t>
    <phoneticPr fontId="1" type="noConversion"/>
  </si>
  <si>
    <t>798956  逆向dp时间：0.0245662</t>
    <phoneticPr fontId="1" type="noConversion"/>
  </si>
  <si>
    <t>814325  逆向dp时间：0.0220022</t>
    <phoneticPr fontId="1" type="noConversion"/>
  </si>
  <si>
    <t>829134  逆向dp时间：0.0246956</t>
    <phoneticPr fontId="1" type="noConversion"/>
  </si>
  <si>
    <t>e: 2 f: 1</t>
  </si>
  <si>
    <t>e: 2 f: 150000000000000</t>
  </si>
  <si>
    <t>e: 2 f: 200000000000000</t>
  </si>
  <si>
    <t>e: 2 f: 250000000000000</t>
  </si>
  <si>
    <t>e: 2 f: 300000000000000</t>
  </si>
  <si>
    <t>e: 2 f: 350000000000000</t>
  </si>
  <si>
    <t>e: 2 f: 400000000000000</t>
  </si>
  <si>
    <t>e: 2 f: 450000000000000</t>
  </si>
  <si>
    <t>e: 2 f: 500000000000000</t>
  </si>
  <si>
    <t>e: 2 f: 550000000000000</t>
  </si>
  <si>
    <t>e: 2 f: 600000000000000</t>
  </si>
  <si>
    <t>e: 2 f: 650000000000000</t>
  </si>
  <si>
    <t>e: 2 f: 700000000000000</t>
  </si>
  <si>
    <t>e: 2 f: 750000000000000</t>
  </si>
  <si>
    <t>e: 2 f: 800000000000000</t>
  </si>
  <si>
    <t>e: 2 f: 850000000000000</t>
  </si>
  <si>
    <t>e: 2 f: 900000000000000</t>
  </si>
  <si>
    <t>e: 2 f: 950000000000000</t>
  </si>
  <si>
    <t>f（10^13）</t>
    <phoneticPr fontId="1" type="noConversion"/>
  </si>
  <si>
    <t>e: 2 f: 50000000000000</t>
    <phoneticPr fontId="1" type="noConversion"/>
  </si>
  <si>
    <t>9999999  逆向dp时间：0.163704</t>
    <phoneticPr fontId="1" type="noConversion"/>
  </si>
  <si>
    <t>e: 2 f: 100000000000000</t>
    <phoneticPr fontId="1" type="noConversion"/>
  </si>
  <si>
    <t>14142135  逆向dp时间：0.228715</t>
    <phoneticPr fontId="1" type="noConversion"/>
  </si>
  <si>
    <t>17320507  逆向dp时间：0.289595</t>
    <phoneticPr fontId="1" type="noConversion"/>
  </si>
  <si>
    <t>19999999  逆向dp时间：0.340733</t>
    <phoneticPr fontId="1" type="noConversion"/>
  </si>
  <si>
    <t>22360679  逆向dp时间：0.353463</t>
    <phoneticPr fontId="1" type="noConversion"/>
  </si>
  <si>
    <t>24494896  逆向dp时间：0.421593</t>
    <phoneticPr fontId="1" type="noConversion"/>
  </si>
  <si>
    <t>26457512  逆向dp时间：0.430761</t>
    <phoneticPr fontId="1" type="noConversion"/>
  </si>
  <si>
    <t>28284270  逆向dp时间：0.457735</t>
    <phoneticPr fontId="1" type="noConversion"/>
  </si>
  <si>
    <t>29999999  逆向dp时间：0.512899</t>
    <phoneticPr fontId="1" type="noConversion"/>
  </si>
  <si>
    <t>31622776  逆向dp时间：0.507946</t>
    <phoneticPr fontId="1" type="noConversion"/>
  </si>
  <si>
    <t>33166247  逆向dp时间：0.572278</t>
    <phoneticPr fontId="1" type="noConversion"/>
  </si>
  <si>
    <t>34641015  逆向dp时间：0.633719</t>
    <phoneticPr fontId="1" type="noConversion"/>
  </si>
  <si>
    <t>36055512  逆向dp时间：0.626185</t>
    <phoneticPr fontId="1" type="noConversion"/>
  </si>
  <si>
    <t>37416573  逆向dp时间：0.647972</t>
    <phoneticPr fontId="1" type="noConversion"/>
  </si>
  <si>
    <t>38729832  逆向dp时间：0.637519</t>
    <phoneticPr fontId="1" type="noConversion"/>
  </si>
  <si>
    <t>39999999  逆向dp时间：0.677466</t>
    <phoneticPr fontId="1" type="noConversion"/>
  </si>
  <si>
    <t>41231055  逆向dp时间：0.70789</t>
    <phoneticPr fontId="1" type="noConversion"/>
  </si>
  <si>
    <t>42426406  逆向dp时间：0.768933</t>
    <phoneticPr fontId="1" type="noConversion"/>
  </si>
  <si>
    <t>43588988  逆向dp时间：0.838371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</si>
</sst>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朴素</a:t>
            </a:r>
            <a:r>
              <a:rPr lang="en-US" altLang="zh-CN"/>
              <a:t>dp </a:t>
            </a:r>
            <a:r>
              <a:rPr lang="zh-CN" altLang="en-US"/>
              <a:t>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0</c:v>
                </c:pt>
                <c:pt idx="1">
                  <c:v>1.3518300000000001E-4</c:v>
                </c:pt>
                <c:pt idx="2">
                  <c:v>2.99692E-4</c:v>
                </c:pt>
                <c:pt idx="3">
                  <c:v>3.7670100000000001E-4</c:v>
                </c:pt>
                <c:pt idx="4">
                  <c:v>4.8518200000000002E-4</c:v>
                </c:pt>
                <c:pt idx="5">
                  <c:v>5.3906400000000001E-4</c:v>
                </c:pt>
                <c:pt idx="6">
                  <c:v>6.9689800000000005E-4</c:v>
                </c:pt>
                <c:pt idx="7">
                  <c:v>8.0132499999999998E-4</c:v>
                </c:pt>
                <c:pt idx="8">
                  <c:v>9.5200500000000002E-4</c:v>
                </c:pt>
                <c:pt idx="9">
                  <c:v>1.0497600000000001E-3</c:v>
                </c:pt>
                <c:pt idx="10">
                  <c:v>1.6739400000000001E-3</c:v>
                </c:pt>
                <c:pt idx="11">
                  <c:v>1.8301000000000001E-3</c:v>
                </c:pt>
                <c:pt idx="12">
                  <c:v>1.9908E-3</c:v>
                </c:pt>
                <c:pt idx="13">
                  <c:v>2.1562600000000001E-3</c:v>
                </c:pt>
                <c:pt idx="14">
                  <c:v>2.32482E-3</c:v>
                </c:pt>
                <c:pt idx="15">
                  <c:v>2.5052999999999998E-3</c:v>
                </c:pt>
                <c:pt idx="16">
                  <c:v>2.6621800000000001E-3</c:v>
                </c:pt>
                <c:pt idx="17">
                  <c:v>2.8331300000000001E-3</c:v>
                </c:pt>
                <c:pt idx="18">
                  <c:v>3.0054999999999999E-3</c:v>
                </c:pt>
                <c:pt idx="19">
                  <c:v>3.15738E-3</c:v>
                </c:pt>
                <c:pt idx="20">
                  <c:v>3.30234E-3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5B-4030-9779-CDB77433ABE1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21"/>
                <c:pt idx="0">
                  <c:v>3.3478800000000002E-5</c:v>
                </c:pt>
                <c:pt idx="1">
                  <c:v>1.6739400000000002E-4</c:v>
                </c:pt>
                <c:pt idx="2">
                  <c:v>3.3478800000000003E-4</c:v>
                </c:pt>
                <c:pt idx="3">
                  <c:v>5.02182E-4</c:v>
                </c:pt>
                <c:pt idx="4">
                  <c:v>6.6957600000000007E-4</c:v>
                </c:pt>
                <c:pt idx="5">
                  <c:v>8.3697000000000003E-4</c:v>
                </c:pt>
                <c:pt idx="6">
                  <c:v>1.004364E-3</c:v>
                </c:pt>
                <c:pt idx="7">
                  <c:v>1.1717580000000002E-3</c:v>
                </c:pt>
                <c:pt idx="8">
                  <c:v>1.3391520000000001E-3</c:v>
                </c:pt>
                <c:pt idx="9">
                  <c:v>1.5065460000000001E-3</c:v>
                </c:pt>
                <c:pt idx="10">
                  <c:v>1.6739400000000001E-3</c:v>
                </c:pt>
                <c:pt idx="11">
                  <c:v>1.841334E-3</c:v>
                </c:pt>
                <c:pt idx="12">
                  <c:v>2.008728E-3</c:v>
                </c:pt>
                <c:pt idx="13">
                  <c:v>2.176122E-3</c:v>
                </c:pt>
                <c:pt idx="14">
                  <c:v>2.3435160000000003E-3</c:v>
                </c:pt>
                <c:pt idx="15">
                  <c:v>2.5109100000000003E-3</c:v>
                </c:pt>
                <c:pt idx="16">
                  <c:v>2.6783040000000003E-3</c:v>
                </c:pt>
                <c:pt idx="17">
                  <c:v>2.8456980000000002E-3</c:v>
                </c:pt>
                <c:pt idx="18">
                  <c:v>3.0130920000000002E-3</c:v>
                </c:pt>
                <c:pt idx="19">
                  <c:v>3.1804860000000002E-3</c:v>
                </c:pt>
                <c:pt idx="20">
                  <c:v>3.3478800000000001E-3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5B-4030-9779-CDB77433A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364303"/>
        <c:axId val="1286379663"/>
      </c:scatterChart>
      <c:valAx>
        <c:axId val="128636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379663"/>
        <c:crosses val="autoZero"/>
        <c:crossBetween val="midCat"/>
      </c:valAx>
      <c:valAx>
        <c:axId val="128637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364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Sheet1!$F$2:$F$22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1.7643E-5</c:v>
                </c:pt>
                <c:pt idx="2">
                  <c:v>2.38419E-5</c:v>
                </c:pt>
                <c:pt idx="3">
                  <c:v>3.4809099999999998E-5</c:v>
                </c:pt>
                <c:pt idx="4">
                  <c:v>4.2200100000000003E-5</c:v>
                </c:pt>
                <c:pt idx="5">
                  <c:v>5.1498400000000001E-5</c:v>
                </c:pt>
                <c:pt idx="6">
                  <c:v>6.07967E-5</c:v>
                </c:pt>
                <c:pt idx="7">
                  <c:v>7.1525600000000005E-5</c:v>
                </c:pt>
                <c:pt idx="8">
                  <c:v>9.6559500000000003E-5</c:v>
                </c:pt>
                <c:pt idx="9" formatCode="General">
                  <c:v>1.46627E-4</c:v>
                </c:pt>
                <c:pt idx="10" formatCode="General">
                  <c:v>1.36852E-4</c:v>
                </c:pt>
                <c:pt idx="11" formatCode="General">
                  <c:v>1.4758100000000001E-4</c:v>
                </c:pt>
                <c:pt idx="12" formatCode="General">
                  <c:v>1.6164799999999999E-4</c:v>
                </c:pt>
                <c:pt idx="13" formatCode="General">
                  <c:v>1.7166100000000001E-4</c:v>
                </c:pt>
                <c:pt idx="14" formatCode="General">
                  <c:v>1.86682E-4</c:v>
                </c:pt>
                <c:pt idx="15" formatCode="General">
                  <c:v>1.9764899999999999E-4</c:v>
                </c:pt>
                <c:pt idx="16" formatCode="General">
                  <c:v>2.1100000000000001E-4</c:v>
                </c:pt>
                <c:pt idx="17" formatCode="General">
                  <c:v>2.2435200000000001E-4</c:v>
                </c:pt>
                <c:pt idx="18" formatCode="General">
                  <c:v>2.3794199999999999E-4</c:v>
                </c:pt>
                <c:pt idx="19" formatCode="General">
                  <c:v>2.50578E-4</c:v>
                </c:pt>
                <c:pt idx="20" formatCode="General">
                  <c:v>2.6154500000000002E-4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5-4C3D-A1E3-4E70E30223F2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Sheet1!$E$2:$E$22</c:f>
              <c:numCache>
                <c:formatCode>General</c:formatCode>
                <c:ptCount val="21"/>
                <c:pt idx="0">
                  <c:v>2.7370400000000001E-6</c:v>
                </c:pt>
                <c:pt idx="1">
                  <c:v>1.3685200000000001E-5</c:v>
                </c:pt>
                <c:pt idx="2">
                  <c:v>2.7370400000000001E-5</c:v>
                </c:pt>
                <c:pt idx="3">
                  <c:v>4.10556E-5</c:v>
                </c:pt>
                <c:pt idx="4">
                  <c:v>5.4740800000000003E-5</c:v>
                </c:pt>
                <c:pt idx="5">
                  <c:v>6.8425999999999998E-5</c:v>
                </c:pt>
                <c:pt idx="6">
                  <c:v>8.2111200000000001E-5</c:v>
                </c:pt>
                <c:pt idx="7">
                  <c:v>9.5796400000000003E-5</c:v>
                </c:pt>
                <c:pt idx="8">
                  <c:v>1.0948160000000001E-4</c:v>
                </c:pt>
                <c:pt idx="9">
                  <c:v>1.2316679999999999E-4</c:v>
                </c:pt>
                <c:pt idx="10">
                  <c:v>1.36852E-4</c:v>
                </c:pt>
                <c:pt idx="11">
                  <c:v>1.505372E-4</c:v>
                </c:pt>
                <c:pt idx="12">
                  <c:v>1.642224E-4</c:v>
                </c:pt>
                <c:pt idx="13">
                  <c:v>1.779076E-4</c:v>
                </c:pt>
                <c:pt idx="14">
                  <c:v>1.9159280000000001E-4</c:v>
                </c:pt>
                <c:pt idx="15">
                  <c:v>2.0527800000000001E-4</c:v>
                </c:pt>
                <c:pt idx="16">
                  <c:v>2.1896320000000001E-4</c:v>
                </c:pt>
                <c:pt idx="17">
                  <c:v>2.3264840000000001E-4</c:v>
                </c:pt>
                <c:pt idx="18">
                  <c:v>2.4633359999999999E-4</c:v>
                </c:pt>
                <c:pt idx="19">
                  <c:v>2.6001879999999999E-4</c:v>
                </c:pt>
                <c:pt idx="20">
                  <c:v>2.7370399999999999E-4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5-4C3D-A1E3-4E70E3022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98127"/>
        <c:axId val="1914293327"/>
      </c:scatterChart>
      <c:valAx>
        <c:axId val="191429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93327"/>
        <c:crosses val="autoZero"/>
        <c:crossBetween val="midCat"/>
      </c:valAx>
      <c:valAx>
        <c:axId val="19142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98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空间优化 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Sheet1!$H$2:$H$22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1.7643E-5</c:v>
                </c:pt>
                <c:pt idx="2">
                  <c:v>4.2915299999999999E-5</c:v>
                </c:pt>
                <c:pt idx="3">
                  <c:v>3.3855400000000001E-5</c:v>
                </c:pt>
                <c:pt idx="4">
                  <c:v>3.9815899999999999E-5</c:v>
                </c:pt>
                <c:pt idx="5">
                  <c:v>4.9114199999999998E-5</c:v>
                </c:pt>
                <c:pt idx="6">
                  <c:v>5.8174100000000003E-5</c:v>
                </c:pt>
                <c:pt idx="7">
                  <c:v>6.7472500000000002E-5</c:v>
                </c:pt>
                <c:pt idx="8" formatCode="General">
                  <c:v>1.09434E-4</c:v>
                </c:pt>
                <c:pt idx="9" formatCode="General">
                  <c:v>1.04904E-4</c:v>
                </c:pt>
                <c:pt idx="10" formatCode="General">
                  <c:v>1.4495799999999999E-4</c:v>
                </c:pt>
                <c:pt idx="11" formatCode="General">
                  <c:v>1.6593900000000001E-4</c:v>
                </c:pt>
                <c:pt idx="12" formatCode="General">
                  <c:v>1.68324E-4</c:v>
                </c:pt>
                <c:pt idx="13" formatCode="General">
                  <c:v>1.95026E-4</c:v>
                </c:pt>
                <c:pt idx="14" formatCode="General">
                  <c:v>1.95026E-4</c:v>
                </c:pt>
                <c:pt idx="15" formatCode="General">
                  <c:v>2.07901E-4</c:v>
                </c:pt>
                <c:pt idx="16" formatCode="General">
                  <c:v>2.39134E-4</c:v>
                </c:pt>
                <c:pt idx="17" formatCode="General">
                  <c:v>2.3651100000000001E-4</c:v>
                </c:pt>
                <c:pt idx="18" formatCode="General">
                  <c:v>2.6106799999999999E-4</c:v>
                </c:pt>
                <c:pt idx="19" formatCode="General">
                  <c:v>2.6536000000000002E-4</c:v>
                </c:pt>
                <c:pt idx="20" formatCode="General">
                  <c:v>2.77519E-4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D1-44FE-92F6-D896E608F9D1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Sheet1!$G$2:$G$22</c:f>
              <c:numCache>
                <c:formatCode>General</c:formatCode>
                <c:ptCount val="21"/>
                <c:pt idx="0">
                  <c:v>2.8991599999999999E-6</c:v>
                </c:pt>
                <c:pt idx="1">
                  <c:v>1.4495799999999999E-5</c:v>
                </c:pt>
                <c:pt idx="2">
                  <c:v>2.8991599999999999E-5</c:v>
                </c:pt>
                <c:pt idx="3">
                  <c:v>4.34874E-5</c:v>
                </c:pt>
                <c:pt idx="4">
                  <c:v>5.7983199999999997E-5</c:v>
                </c:pt>
                <c:pt idx="5">
                  <c:v>7.2478999999999995E-5</c:v>
                </c:pt>
                <c:pt idx="6">
                  <c:v>8.6974799999999999E-5</c:v>
                </c:pt>
                <c:pt idx="7">
                  <c:v>1.0147059999999999E-4</c:v>
                </c:pt>
                <c:pt idx="8">
                  <c:v>1.1596639999999999E-4</c:v>
                </c:pt>
                <c:pt idx="9">
                  <c:v>1.3046219999999999E-4</c:v>
                </c:pt>
                <c:pt idx="10">
                  <c:v>1.4495799999999999E-4</c:v>
                </c:pt>
                <c:pt idx="11">
                  <c:v>1.5945379999999999E-4</c:v>
                </c:pt>
                <c:pt idx="12">
                  <c:v>1.739496E-4</c:v>
                </c:pt>
                <c:pt idx="13">
                  <c:v>1.884454E-4</c:v>
                </c:pt>
                <c:pt idx="14">
                  <c:v>2.0294119999999998E-4</c:v>
                </c:pt>
                <c:pt idx="15">
                  <c:v>2.1743699999999999E-4</c:v>
                </c:pt>
                <c:pt idx="16">
                  <c:v>2.3193279999999999E-4</c:v>
                </c:pt>
                <c:pt idx="17">
                  <c:v>2.4642859999999997E-4</c:v>
                </c:pt>
                <c:pt idx="18">
                  <c:v>2.6092439999999997E-4</c:v>
                </c:pt>
                <c:pt idx="19">
                  <c:v>2.7542019999999998E-4</c:v>
                </c:pt>
                <c:pt idx="20">
                  <c:v>2.8991599999999998E-4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D1-44FE-92F6-D896E608F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89487"/>
        <c:axId val="1914297167"/>
      </c:scatterChart>
      <c:valAx>
        <c:axId val="191428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97167"/>
        <c:crosses val="autoZero"/>
        <c:crossBetween val="midCat"/>
      </c:valAx>
      <c:valAx>
        <c:axId val="19142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89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逆向</a:t>
            </a:r>
            <a:r>
              <a:rPr lang="en-US" altLang="zh-CN"/>
              <a:t>dp </a:t>
            </a:r>
            <a:r>
              <a:rPr lang="zh-CN" altLang="en-US"/>
              <a:t>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Sheet1!$J$2:$J$22</c:f>
              <c:numCache>
                <c:formatCode>0.00E+00</c:formatCode>
                <c:ptCount val="21"/>
                <c:pt idx="0">
                  <c:v>4.76837E-7</c:v>
                </c:pt>
                <c:pt idx="1">
                  <c:v>2.3841900000000001E-7</c:v>
                </c:pt>
                <c:pt idx="2">
                  <c:v>7.1525600000000001E-7</c:v>
                </c:pt>
                <c:pt idx="3">
                  <c:v>4.76837E-7</c:v>
                </c:pt>
                <c:pt idx="4">
                  <c:v>7.1525600000000001E-7</c:v>
                </c:pt>
                <c:pt idx="5">
                  <c:v>9.5367399999999999E-7</c:v>
                </c:pt>
                <c:pt idx="6">
                  <c:v>7.1525600000000001E-7</c:v>
                </c:pt>
                <c:pt idx="7">
                  <c:v>1.1920899999999999E-6</c:v>
                </c:pt>
                <c:pt idx="8">
                  <c:v>1.43051E-6</c:v>
                </c:pt>
                <c:pt idx="9">
                  <c:v>1.43051E-6</c:v>
                </c:pt>
                <c:pt idx="10">
                  <c:v>2.1457699999999999E-6</c:v>
                </c:pt>
                <c:pt idx="11">
                  <c:v>2.1457699999999999E-6</c:v>
                </c:pt>
                <c:pt idx="12">
                  <c:v>2.3841900000000001E-6</c:v>
                </c:pt>
                <c:pt idx="13">
                  <c:v>2.3841900000000001E-6</c:v>
                </c:pt>
                <c:pt idx="14">
                  <c:v>2.6226000000000001E-6</c:v>
                </c:pt>
                <c:pt idx="15">
                  <c:v>2.8610199999999999E-6</c:v>
                </c:pt>
                <c:pt idx="16">
                  <c:v>2.8610199999999999E-6</c:v>
                </c:pt>
                <c:pt idx="17">
                  <c:v>2.8610199999999999E-6</c:v>
                </c:pt>
                <c:pt idx="18">
                  <c:v>3.33786E-6</c:v>
                </c:pt>
                <c:pt idx="19">
                  <c:v>3.5762799999999998E-6</c:v>
                </c:pt>
                <c:pt idx="20">
                  <c:v>3.5762799999999998E-6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F1-4D0E-A8A3-4AF8574C9928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Sheet1!$I$2:$I$22</c:f>
              <c:numCache>
                <c:formatCode>General</c:formatCode>
                <c:ptCount val="21"/>
                <c:pt idx="0">
                  <c:v>4.2915399999999999E-8</c:v>
                </c:pt>
                <c:pt idx="1">
                  <c:v>2.14577E-7</c:v>
                </c:pt>
                <c:pt idx="2">
                  <c:v>4.2915400000000001E-7</c:v>
                </c:pt>
                <c:pt idx="3">
                  <c:v>6.4373099999999998E-7</c:v>
                </c:pt>
                <c:pt idx="4">
                  <c:v>8.5830800000000001E-7</c:v>
                </c:pt>
                <c:pt idx="5">
                  <c:v>1.0728849999999999E-6</c:v>
                </c:pt>
                <c:pt idx="6">
                  <c:v>1.287462E-6</c:v>
                </c:pt>
                <c:pt idx="7">
                  <c:v>1.502039E-6</c:v>
                </c:pt>
                <c:pt idx="8">
                  <c:v>1.716616E-6</c:v>
                </c:pt>
                <c:pt idx="9">
                  <c:v>1.9311929999999998E-6</c:v>
                </c:pt>
                <c:pt idx="10">
                  <c:v>2.1457699999999999E-6</c:v>
                </c:pt>
                <c:pt idx="11">
                  <c:v>2.3603469999999999E-6</c:v>
                </c:pt>
                <c:pt idx="12">
                  <c:v>2.5749239999999999E-6</c:v>
                </c:pt>
                <c:pt idx="13">
                  <c:v>2.789501E-6</c:v>
                </c:pt>
                <c:pt idx="14">
                  <c:v>3.004078E-6</c:v>
                </c:pt>
                <c:pt idx="15">
                  <c:v>3.218655E-6</c:v>
                </c:pt>
                <c:pt idx="16">
                  <c:v>3.433232E-6</c:v>
                </c:pt>
                <c:pt idx="17">
                  <c:v>3.6478090000000001E-6</c:v>
                </c:pt>
                <c:pt idx="18">
                  <c:v>3.8623859999999997E-6</c:v>
                </c:pt>
                <c:pt idx="19">
                  <c:v>4.0769629999999997E-6</c:v>
                </c:pt>
                <c:pt idx="20">
                  <c:v>4.2915399999999997E-6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F1-4D0E-A8A3-4AF8574C9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98607"/>
        <c:axId val="1914305327"/>
      </c:scatterChart>
      <c:valAx>
        <c:axId val="191429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305327"/>
        <c:crosses val="autoZero"/>
        <c:crossBetween val="midCat"/>
      </c:valAx>
      <c:valAx>
        <c:axId val="19143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98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定</a:t>
            </a:r>
            <a:r>
              <a:rPr lang="en-US" altLang="zh-CN"/>
              <a:t>f</a:t>
            </a:r>
            <a:r>
              <a:rPr lang="zh-CN" altLang="en-US"/>
              <a:t>变</a:t>
            </a:r>
            <a:r>
              <a:rPr lang="en-US" altLang="zh-CN"/>
              <a:t>e  </a:t>
            </a:r>
            <a:r>
              <a:rPr lang="zh-CN" altLang="en-US"/>
              <a:t>小规模对比</a:t>
            </a:r>
          </a:p>
        </c:rich>
      </c:tx>
      <c:layout>
        <c:manualLayout>
          <c:xMode val="edge"/>
          <c:yMode val="edge"/>
          <c:x val="0.37203617059549837"/>
          <c:y val="2.06985741616058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朴素dp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21"/>
                <c:pt idx="0">
                  <c:v>0</c:v>
                </c:pt>
                <c:pt idx="1">
                  <c:v>1.3518300000000001E-4</c:v>
                </c:pt>
                <c:pt idx="2">
                  <c:v>2.99692E-4</c:v>
                </c:pt>
                <c:pt idx="3">
                  <c:v>3.7670100000000001E-4</c:v>
                </c:pt>
                <c:pt idx="4">
                  <c:v>4.8518200000000002E-4</c:v>
                </c:pt>
                <c:pt idx="5">
                  <c:v>5.3906400000000001E-4</c:v>
                </c:pt>
                <c:pt idx="6">
                  <c:v>6.9689800000000005E-4</c:v>
                </c:pt>
                <c:pt idx="7">
                  <c:v>8.0132499999999998E-4</c:v>
                </c:pt>
                <c:pt idx="8">
                  <c:v>9.5200500000000002E-4</c:v>
                </c:pt>
                <c:pt idx="9">
                  <c:v>1.0497600000000001E-3</c:v>
                </c:pt>
                <c:pt idx="10">
                  <c:v>1.6739400000000001E-3</c:v>
                </c:pt>
                <c:pt idx="11">
                  <c:v>1.8301000000000001E-3</c:v>
                </c:pt>
                <c:pt idx="12">
                  <c:v>1.9908E-3</c:v>
                </c:pt>
                <c:pt idx="13">
                  <c:v>2.1562600000000001E-3</c:v>
                </c:pt>
                <c:pt idx="14">
                  <c:v>2.32482E-3</c:v>
                </c:pt>
                <c:pt idx="15">
                  <c:v>2.5052999999999998E-3</c:v>
                </c:pt>
                <c:pt idx="16">
                  <c:v>2.6621800000000001E-3</c:v>
                </c:pt>
                <c:pt idx="17">
                  <c:v>2.8331300000000001E-3</c:v>
                </c:pt>
                <c:pt idx="18">
                  <c:v>3.0054999999999999E-3</c:v>
                </c:pt>
                <c:pt idx="19">
                  <c:v>3.15738E-3</c:v>
                </c:pt>
                <c:pt idx="20">
                  <c:v>3.30234E-3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9B-4FE9-80B5-3EC8851AFBF8}"/>
            </c:ext>
          </c:extLst>
        </c:ser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Sheet1!$F$2:$F$22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1.7643E-5</c:v>
                </c:pt>
                <c:pt idx="2">
                  <c:v>2.38419E-5</c:v>
                </c:pt>
                <c:pt idx="3">
                  <c:v>3.4809099999999998E-5</c:v>
                </c:pt>
                <c:pt idx="4">
                  <c:v>4.2200100000000003E-5</c:v>
                </c:pt>
                <c:pt idx="5">
                  <c:v>5.1498400000000001E-5</c:v>
                </c:pt>
                <c:pt idx="6">
                  <c:v>6.07967E-5</c:v>
                </c:pt>
                <c:pt idx="7">
                  <c:v>7.1525600000000005E-5</c:v>
                </c:pt>
                <c:pt idx="8">
                  <c:v>9.6559500000000003E-5</c:v>
                </c:pt>
                <c:pt idx="9" formatCode="General">
                  <c:v>1.46627E-4</c:v>
                </c:pt>
                <c:pt idx="10" formatCode="General">
                  <c:v>1.36852E-4</c:v>
                </c:pt>
                <c:pt idx="11" formatCode="General">
                  <c:v>1.4758100000000001E-4</c:v>
                </c:pt>
                <c:pt idx="12" formatCode="General">
                  <c:v>1.6164799999999999E-4</c:v>
                </c:pt>
                <c:pt idx="13" formatCode="General">
                  <c:v>1.7166100000000001E-4</c:v>
                </c:pt>
                <c:pt idx="14" formatCode="General">
                  <c:v>1.86682E-4</c:v>
                </c:pt>
                <c:pt idx="15" formatCode="General">
                  <c:v>1.9764899999999999E-4</c:v>
                </c:pt>
                <c:pt idx="16" formatCode="General">
                  <c:v>2.1100000000000001E-4</c:v>
                </c:pt>
                <c:pt idx="17" formatCode="General">
                  <c:v>2.2435200000000001E-4</c:v>
                </c:pt>
                <c:pt idx="18" formatCode="General">
                  <c:v>2.3794199999999999E-4</c:v>
                </c:pt>
                <c:pt idx="19" formatCode="General">
                  <c:v>2.50578E-4</c:v>
                </c:pt>
                <c:pt idx="20" formatCode="General">
                  <c:v>2.6154500000000002E-4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9B-4FE9-80B5-3EC8851AFBF8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Sheet1!$H$2:$H$22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1.7643E-5</c:v>
                </c:pt>
                <c:pt idx="2">
                  <c:v>4.2915299999999999E-5</c:v>
                </c:pt>
                <c:pt idx="3">
                  <c:v>3.3855400000000001E-5</c:v>
                </c:pt>
                <c:pt idx="4">
                  <c:v>3.9815899999999999E-5</c:v>
                </c:pt>
                <c:pt idx="5">
                  <c:v>4.9114199999999998E-5</c:v>
                </c:pt>
                <c:pt idx="6">
                  <c:v>5.8174100000000003E-5</c:v>
                </c:pt>
                <c:pt idx="7">
                  <c:v>6.7472500000000002E-5</c:v>
                </c:pt>
                <c:pt idx="8" formatCode="General">
                  <c:v>1.09434E-4</c:v>
                </c:pt>
                <c:pt idx="9" formatCode="General">
                  <c:v>1.04904E-4</c:v>
                </c:pt>
                <c:pt idx="10" formatCode="General">
                  <c:v>1.4495799999999999E-4</c:v>
                </c:pt>
                <c:pt idx="11" formatCode="General">
                  <c:v>1.6593900000000001E-4</c:v>
                </c:pt>
                <c:pt idx="12" formatCode="General">
                  <c:v>1.68324E-4</c:v>
                </c:pt>
                <c:pt idx="13" formatCode="General">
                  <c:v>1.95026E-4</c:v>
                </c:pt>
                <c:pt idx="14" formatCode="General">
                  <c:v>1.95026E-4</c:v>
                </c:pt>
                <c:pt idx="15" formatCode="General">
                  <c:v>2.07901E-4</c:v>
                </c:pt>
                <c:pt idx="16" formatCode="General">
                  <c:v>2.39134E-4</c:v>
                </c:pt>
                <c:pt idx="17" formatCode="General">
                  <c:v>2.3651100000000001E-4</c:v>
                </c:pt>
                <c:pt idx="18" formatCode="General">
                  <c:v>2.6106799999999999E-4</c:v>
                </c:pt>
                <c:pt idx="19" formatCode="General">
                  <c:v>2.6536000000000002E-4</c:v>
                </c:pt>
                <c:pt idx="20" formatCode="General">
                  <c:v>2.77519E-4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9B-4FE9-80B5-3EC8851AFBF8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Sheet1!$J$2:$J$22</c:f>
              <c:numCache>
                <c:formatCode>0.00E+00</c:formatCode>
                <c:ptCount val="21"/>
                <c:pt idx="0">
                  <c:v>4.76837E-7</c:v>
                </c:pt>
                <c:pt idx="1">
                  <c:v>2.3841900000000001E-7</c:v>
                </c:pt>
                <c:pt idx="2">
                  <c:v>7.1525600000000001E-7</c:v>
                </c:pt>
                <c:pt idx="3">
                  <c:v>4.76837E-7</c:v>
                </c:pt>
                <c:pt idx="4">
                  <c:v>7.1525600000000001E-7</c:v>
                </c:pt>
                <c:pt idx="5">
                  <c:v>9.5367399999999999E-7</c:v>
                </c:pt>
                <c:pt idx="6">
                  <c:v>7.1525600000000001E-7</c:v>
                </c:pt>
                <c:pt idx="7">
                  <c:v>1.1920899999999999E-6</c:v>
                </c:pt>
                <c:pt idx="8">
                  <c:v>1.43051E-6</c:v>
                </c:pt>
                <c:pt idx="9">
                  <c:v>1.43051E-6</c:v>
                </c:pt>
                <c:pt idx="10">
                  <c:v>2.1457699999999999E-6</c:v>
                </c:pt>
                <c:pt idx="11">
                  <c:v>2.1457699999999999E-6</c:v>
                </c:pt>
                <c:pt idx="12">
                  <c:v>2.3841900000000001E-6</c:v>
                </c:pt>
                <c:pt idx="13">
                  <c:v>2.3841900000000001E-6</c:v>
                </c:pt>
                <c:pt idx="14">
                  <c:v>2.6226000000000001E-6</c:v>
                </c:pt>
                <c:pt idx="15">
                  <c:v>2.8610199999999999E-6</c:v>
                </c:pt>
                <c:pt idx="16">
                  <c:v>2.8610199999999999E-6</c:v>
                </c:pt>
                <c:pt idx="17">
                  <c:v>2.8610199999999999E-6</c:v>
                </c:pt>
                <c:pt idx="18">
                  <c:v>3.33786E-6</c:v>
                </c:pt>
                <c:pt idx="19">
                  <c:v>3.5762799999999998E-6</c:v>
                </c:pt>
                <c:pt idx="20">
                  <c:v>3.5762799999999998E-6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39B-4FE9-80B5-3EC8851A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61647"/>
        <c:axId val="1914270287"/>
      </c:scatterChart>
      <c:valAx>
        <c:axId val="19142616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70287"/>
        <c:crosses val="autoZero"/>
        <c:crossBetween val="midCat"/>
      </c:valAx>
      <c:valAx>
        <c:axId val="19142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6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朴素</a:t>
            </a:r>
            <a:r>
              <a:rPr lang="en-US" altLang="zh-CN"/>
              <a:t>dp  </a:t>
            </a:r>
            <a:r>
              <a:rPr lang="zh-CN" altLang="en-US"/>
              <a:t>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Sheet1!$AD$2:$AD$22</c:f>
              <c:numCache>
                <c:formatCode>General</c:formatCode>
                <c:ptCount val="21"/>
                <c:pt idx="0">
                  <c:v>0</c:v>
                </c:pt>
                <c:pt idx="1">
                  <c:v>1.5783299999999999E-4</c:v>
                </c:pt>
                <c:pt idx="2">
                  <c:v>5.1665299999999995E-4</c:v>
                </c:pt>
                <c:pt idx="3">
                  <c:v>1.0127999999999999E-3</c:v>
                </c:pt>
                <c:pt idx="4">
                  <c:v>1.6770400000000001E-3</c:v>
                </c:pt>
                <c:pt idx="5">
                  <c:v>2.9881E-3</c:v>
                </c:pt>
                <c:pt idx="6">
                  <c:v>4.8508600000000002E-3</c:v>
                </c:pt>
                <c:pt idx="7">
                  <c:v>7.1327700000000001E-3</c:v>
                </c:pt>
                <c:pt idx="8">
                  <c:v>7.9574599999999995E-3</c:v>
                </c:pt>
                <c:pt idx="9">
                  <c:v>9.4432800000000001E-3</c:v>
                </c:pt>
                <c:pt idx="10">
                  <c:v>1.0278199999999999E-2</c:v>
                </c:pt>
                <c:pt idx="11">
                  <c:v>1.2711500000000001E-2</c:v>
                </c:pt>
                <c:pt idx="12">
                  <c:v>1.7914099999999999E-2</c:v>
                </c:pt>
                <c:pt idx="13">
                  <c:v>2.1499899999999999E-2</c:v>
                </c:pt>
                <c:pt idx="14">
                  <c:v>2.03331E-2</c:v>
                </c:pt>
                <c:pt idx="15">
                  <c:v>2.43669E-2</c:v>
                </c:pt>
                <c:pt idx="16">
                  <c:v>2.6060799999999999E-2</c:v>
                </c:pt>
                <c:pt idx="17">
                  <c:v>2.92251E-2</c:v>
                </c:pt>
                <c:pt idx="18">
                  <c:v>3.4120999999999999E-2</c:v>
                </c:pt>
                <c:pt idx="19">
                  <c:v>3.7115099999999998E-2</c:v>
                </c:pt>
                <c:pt idx="20">
                  <c:v>4.0551900000000002E-2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7A-4499-9CDD-8A07D34978EB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Sheet1!$AC$2:$AC$22</c:f>
              <c:numCache>
                <c:formatCode>General</c:formatCode>
                <c:ptCount val="21"/>
                <c:pt idx="0">
                  <c:v>4.1112799999999995E-8</c:v>
                </c:pt>
                <c:pt idx="1">
                  <c:v>1.0278199999999998E-4</c:v>
                </c:pt>
                <c:pt idx="2">
                  <c:v>4.1112799999999992E-4</c:v>
                </c:pt>
                <c:pt idx="3">
                  <c:v>9.2503799999999988E-4</c:v>
                </c:pt>
                <c:pt idx="4">
                  <c:v>1.6445119999999997E-3</c:v>
                </c:pt>
                <c:pt idx="5">
                  <c:v>2.5695499999999999E-3</c:v>
                </c:pt>
                <c:pt idx="6">
                  <c:v>3.7001519999999995E-3</c:v>
                </c:pt>
                <c:pt idx="7">
                  <c:v>5.0363179999999997E-3</c:v>
                </c:pt>
                <c:pt idx="8">
                  <c:v>6.5780479999999987E-3</c:v>
                </c:pt>
                <c:pt idx="9">
                  <c:v>8.3253419999999995E-3</c:v>
                </c:pt>
                <c:pt idx="10">
                  <c:v>1.0278199999999999E-2</c:v>
                </c:pt>
                <c:pt idx="11">
                  <c:v>1.2436621999999998E-2</c:v>
                </c:pt>
                <c:pt idx="12">
                  <c:v>1.4800607999999998E-2</c:v>
                </c:pt>
                <c:pt idx="13">
                  <c:v>1.7370157999999997E-2</c:v>
                </c:pt>
                <c:pt idx="14">
                  <c:v>2.0145271999999992E-2</c:v>
                </c:pt>
                <c:pt idx="15">
                  <c:v>2.3125949999999989E-2</c:v>
                </c:pt>
                <c:pt idx="16">
                  <c:v>2.6312191999999991E-2</c:v>
                </c:pt>
                <c:pt idx="17">
                  <c:v>2.9703997999999992E-2</c:v>
                </c:pt>
                <c:pt idx="18">
                  <c:v>3.3301367999999991E-2</c:v>
                </c:pt>
                <c:pt idx="19">
                  <c:v>3.7104301999999985E-2</c:v>
                </c:pt>
                <c:pt idx="20">
                  <c:v>4.1112799999999991E-2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7A-4499-9CDD-8A07D3497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56847"/>
        <c:axId val="1914264527"/>
      </c:scatterChart>
      <c:valAx>
        <c:axId val="191425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64527"/>
        <c:crosses val="autoZero"/>
        <c:crossBetween val="midCat"/>
      </c:valAx>
      <c:valAx>
        <c:axId val="191426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5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 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Sheet1!$AF$2:$AF$22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2.8610199999999999E-5</c:v>
                </c:pt>
                <c:pt idx="2">
                  <c:v>5.0306300000000003E-5</c:v>
                </c:pt>
                <c:pt idx="3">
                  <c:v>6.2227199999999999E-5</c:v>
                </c:pt>
                <c:pt idx="4">
                  <c:v>9.1314299999999994E-5</c:v>
                </c:pt>
                <c:pt idx="5">
                  <c:v>1.2898400000000001E-4</c:v>
                </c:pt>
                <c:pt idx="6">
                  <c:v>1.78099E-4</c:v>
                </c:pt>
                <c:pt idx="7">
                  <c:v>2.3007400000000001E-4</c:v>
                </c:pt>
                <c:pt idx="8">
                  <c:v>1.95503E-4</c:v>
                </c:pt>
                <c:pt idx="9" formatCode="General">
                  <c:v>1.89304E-4</c:v>
                </c:pt>
                <c:pt idx="10" formatCode="General">
                  <c:v>2.1004699999999999E-4</c:v>
                </c:pt>
                <c:pt idx="11" formatCode="General">
                  <c:v>3.3664699999999998E-4</c:v>
                </c:pt>
                <c:pt idx="12" formatCode="General">
                  <c:v>3.6764099999999999E-4</c:v>
                </c:pt>
                <c:pt idx="13" formatCode="General">
                  <c:v>2.7585000000000001E-4</c:v>
                </c:pt>
                <c:pt idx="14" formatCode="General">
                  <c:v>3.9529799999999998E-4</c:v>
                </c:pt>
                <c:pt idx="15" formatCode="General">
                  <c:v>3.2568000000000001E-4</c:v>
                </c:pt>
                <c:pt idx="16" formatCode="General">
                  <c:v>3.4427600000000002E-4</c:v>
                </c:pt>
                <c:pt idx="17" formatCode="General">
                  <c:v>3.6644899999999997E-4</c:v>
                </c:pt>
                <c:pt idx="18" formatCode="General">
                  <c:v>3.8981399999999999E-4</c:v>
                </c:pt>
                <c:pt idx="19" formatCode="General">
                  <c:v>4.1604000000000001E-4</c:v>
                </c:pt>
                <c:pt idx="20" formatCode="General">
                  <c:v>4.2676900000000002E-4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62-4341-BEB6-8918A82C9D1B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Sheet1!$AE$2:$AE$22</c:f>
              <c:numCache>
                <c:formatCode>General</c:formatCode>
                <c:ptCount val="21"/>
                <c:pt idx="0">
                  <c:v>0</c:v>
                </c:pt>
                <c:pt idx="1">
                  <c:v>1.3222212619163981E-5</c:v>
                </c:pt>
                <c:pt idx="2">
                  <c:v>3.1129949523344072E-5</c:v>
                </c:pt>
                <c:pt idx="3">
                  <c:v>5.0806208289445209E-5</c:v>
                </c:pt>
                <c:pt idx="4">
                  <c:v>7.1630947616720366E-5</c:v>
                </c:pt>
                <c:pt idx="5">
                  <c:v>9.3309689287459721E-5</c:v>
                </c:pt>
                <c:pt idx="6">
                  <c:v>1.1566898943393877E-4</c:v>
                </c:pt>
                <c:pt idx="7">
                  <c:v>1.3859424215800932E-4</c:v>
                </c:pt>
                <c:pt idx="8">
                  <c:v>1.6200399237350518E-4</c:v>
                </c:pt>
                <c:pt idx="9">
                  <c:v>1.8583733616419539E-4</c:v>
                </c:pt>
                <c:pt idx="10">
                  <c:v>2.1004699999999999E-4</c:v>
                </c:pt>
                <c:pt idx="11">
                  <c:v>2.3459521854893081E-4</c:v>
                </c:pt>
                <c:pt idx="12">
                  <c:v>2.5945112457797408E-4</c:v>
                </c:pt>
                <c:pt idx="13">
                  <c:v>2.8458901511895543E-4</c:v>
                </c:pt>
                <c:pt idx="14">
                  <c:v>3.0998715431113138E-4</c:v>
                </c:pt>
                <c:pt idx="15">
                  <c:v>3.3562692002214544E-4</c:v>
                </c:pt>
                <c:pt idx="16">
                  <c:v>3.6149217902713918E-4</c:v>
                </c:pt>
                <c:pt idx="17">
                  <c:v>3.8756881898341269E-4</c:v>
                </c:pt>
                <c:pt idx="18">
                  <c:v>4.1384439089353576E-4</c:v>
                </c:pt>
                <c:pt idx="19">
                  <c:v>4.4030783125378176E-4</c:v>
                </c:pt>
                <c:pt idx="20">
                  <c:v>4.6694924285016102E-4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462-4341-BEB6-8918A82C9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309167"/>
        <c:axId val="1914310127"/>
      </c:scatterChart>
      <c:valAx>
        <c:axId val="191430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310127"/>
        <c:crosses val="autoZero"/>
        <c:crossBetween val="midCat"/>
      </c:valAx>
      <c:valAx>
        <c:axId val="191431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30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空间优化  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Sheet1!$AH$2:$AH$22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3.0040699999999999E-5</c:v>
                </c:pt>
                <c:pt idx="2">
                  <c:v>6.7949300000000003E-5</c:v>
                </c:pt>
                <c:pt idx="3">
                  <c:v>6.1512000000000003E-5</c:v>
                </c:pt>
                <c:pt idx="4">
                  <c:v>7.9870200000000007E-5</c:v>
                </c:pt>
                <c:pt idx="5">
                  <c:v>1.25408E-4</c:v>
                </c:pt>
                <c:pt idx="6">
                  <c:v>1.7452200000000001E-4</c:v>
                </c:pt>
                <c:pt idx="7">
                  <c:v>2.10285E-4</c:v>
                </c:pt>
                <c:pt idx="8" formatCode="General">
                  <c:v>1.6546200000000001E-4</c:v>
                </c:pt>
                <c:pt idx="9" formatCode="General">
                  <c:v>1.8501300000000001E-4</c:v>
                </c:pt>
                <c:pt idx="10" formatCode="General">
                  <c:v>2.0623199999999999E-4</c:v>
                </c:pt>
                <c:pt idx="11" formatCode="General">
                  <c:v>3.6859499999999999E-4</c:v>
                </c:pt>
                <c:pt idx="12" formatCode="General">
                  <c:v>3.6931000000000003E-4</c:v>
                </c:pt>
                <c:pt idx="13" formatCode="General">
                  <c:v>2.8753300000000003E-4</c:v>
                </c:pt>
                <c:pt idx="14" formatCode="General">
                  <c:v>3.8528400000000001E-4</c:v>
                </c:pt>
                <c:pt idx="15" formatCode="General">
                  <c:v>3.1566599999999998E-4</c:v>
                </c:pt>
                <c:pt idx="16" formatCode="General">
                  <c:v>3.4427600000000002E-4</c:v>
                </c:pt>
                <c:pt idx="17" formatCode="General">
                  <c:v>3.5667400000000002E-4</c:v>
                </c:pt>
                <c:pt idx="18" formatCode="General">
                  <c:v>3.7598599999999997E-4</c:v>
                </c:pt>
                <c:pt idx="19" formatCode="General">
                  <c:v>4.0149700000000001E-4</c:v>
                </c:pt>
                <c:pt idx="20" formatCode="General">
                  <c:v>4.3296799999999999E-4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97-4B5D-B681-B4CD39B5E376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Sheet1!$AG$2:$AG$22</c:f>
              <c:numCache>
                <c:formatCode>General</c:formatCode>
                <c:ptCount val="21"/>
                <c:pt idx="0">
                  <c:v>0</c:v>
                </c:pt>
                <c:pt idx="1">
                  <c:v>1.2982062837724064E-5</c:v>
                </c:pt>
                <c:pt idx="2">
                  <c:v>3.056454864910375E-5</c:v>
                </c:pt>
                <c:pt idx="3">
                  <c:v>4.9883435364222602E-5</c:v>
                </c:pt>
                <c:pt idx="4">
                  <c:v>7.0329943245518744E-5</c:v>
                </c:pt>
                <c:pt idx="5">
                  <c:v>9.1614942565860941E-5</c:v>
                </c:pt>
                <c:pt idx="6">
                  <c:v>1.1356813964941206E-4</c:v>
                </c:pt>
                <c:pt idx="7">
                  <c:v>1.3607701013930491E-4</c:v>
                </c:pt>
                <c:pt idx="8">
                  <c:v>1.5906157838565998E-4</c:v>
                </c:pt>
                <c:pt idx="9">
                  <c:v>1.82462046645819E-4</c:v>
                </c:pt>
                <c:pt idx="10">
                  <c:v>2.0623199999999999E-4</c:v>
                </c:pt>
                <c:pt idx="11">
                  <c:v>2.3033435903289787E-4</c:v>
                </c:pt>
                <c:pt idx="12">
                  <c:v>2.5473881714075785E-4</c:v>
                </c:pt>
                <c:pt idx="13">
                  <c:v>2.7942013818817895E-4</c:v>
                </c:pt>
                <c:pt idx="14">
                  <c:v>3.0435698109419919E-4</c:v>
                </c:pt>
                <c:pt idx="15">
                  <c:v>3.2953106195283494E-4</c:v>
                </c:pt>
                <c:pt idx="16">
                  <c:v>3.5492654056056493E-4</c:v>
                </c:pt>
                <c:pt idx="17">
                  <c:v>3.8052956089154892E-4</c:v>
                </c:pt>
                <c:pt idx="18">
                  <c:v>4.0632790005453866E-4</c:v>
                </c:pt>
                <c:pt idx="19">
                  <c:v>4.3231069548781918E-4</c:v>
                </c:pt>
                <c:pt idx="20">
                  <c:v>4.5846822973655635E-4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97-4B5D-B681-B4CD39B5E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86127"/>
        <c:axId val="1914293807"/>
      </c:scatterChart>
      <c:valAx>
        <c:axId val="19142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93807"/>
        <c:crosses val="autoZero"/>
        <c:crossBetween val="midCat"/>
      </c:valAx>
      <c:valAx>
        <c:axId val="191429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逆向</a:t>
            </a:r>
            <a:r>
              <a:rPr lang="en-US" altLang="zh-CN"/>
              <a:t>dp  </a:t>
            </a:r>
            <a:r>
              <a:rPr lang="zh-CN" altLang="en-US"/>
              <a:t>小规模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Sheet1!$AJ$2:$AJ$22</c:f>
              <c:numCache>
                <c:formatCode>0.00E+00</c:formatCode>
                <c:ptCount val="21"/>
                <c:pt idx="0">
                  <c:v>0</c:v>
                </c:pt>
                <c:pt idx="1">
                  <c:v>7.1525600000000001E-7</c:v>
                </c:pt>
                <c:pt idx="2">
                  <c:v>7.1525600000000001E-7</c:v>
                </c:pt>
                <c:pt idx="3">
                  <c:v>7.1525600000000001E-7</c:v>
                </c:pt>
                <c:pt idx="4">
                  <c:v>4.76837E-7</c:v>
                </c:pt>
                <c:pt idx="5">
                  <c:v>7.1525600000000001E-7</c:v>
                </c:pt>
                <c:pt idx="6">
                  <c:v>1.1920899999999999E-6</c:v>
                </c:pt>
                <c:pt idx="7">
                  <c:v>1.43051E-6</c:v>
                </c:pt>
                <c:pt idx="8">
                  <c:v>9.5367399999999999E-7</c:v>
                </c:pt>
                <c:pt idx="9">
                  <c:v>7.1525600000000001E-7</c:v>
                </c:pt>
                <c:pt idx="10">
                  <c:v>7.1525600000000001E-7</c:v>
                </c:pt>
                <c:pt idx="11">
                  <c:v>1.1920899999999999E-6</c:v>
                </c:pt>
                <c:pt idx="12">
                  <c:v>1.90735E-6</c:v>
                </c:pt>
                <c:pt idx="13">
                  <c:v>9.5367399999999999E-7</c:v>
                </c:pt>
                <c:pt idx="14">
                  <c:v>9.5367399999999999E-7</c:v>
                </c:pt>
                <c:pt idx="15">
                  <c:v>9.5367399999999999E-7</c:v>
                </c:pt>
                <c:pt idx="16">
                  <c:v>9.5367399999999999E-7</c:v>
                </c:pt>
                <c:pt idx="17">
                  <c:v>9.5367399999999999E-7</c:v>
                </c:pt>
                <c:pt idx="18">
                  <c:v>9.5367399999999999E-7</c:v>
                </c:pt>
                <c:pt idx="19">
                  <c:v>7.1525600000000001E-7</c:v>
                </c:pt>
                <c:pt idx="20">
                  <c:v>9.5367399999999999E-7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01-44AD-87F2-7611B2DDF122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Sheet1!$AI$2:$AI$22</c:f>
              <c:numCache>
                <c:formatCode>0.00E+00</c:formatCode>
                <c:ptCount val="21"/>
                <c:pt idx="0">
                  <c:v>6.8984937442562464E-7</c:v>
                </c:pt>
                <c:pt idx="1">
                  <c:v>8.3888566856129117E-7</c:v>
                </c:pt>
                <c:pt idx="2">
                  <c:v>8.684689077747282E-7</c:v>
                </c:pt>
                <c:pt idx="3">
                  <c:v>8.8625528444572704E-7</c:v>
                </c:pt>
                <c:pt idx="4">
                  <c:v>8.9909539766600827E-7</c:v>
                </c:pt>
                <c:pt idx="5">
                  <c:v>9.0918293424130925E-7</c:v>
                </c:pt>
                <c:pt idx="6">
                  <c:v>9.1750900955572388E-7</c:v>
                </c:pt>
                <c:pt idx="7">
                  <c:v>9.2460806439360746E-7</c:v>
                </c:pt>
                <c:pt idx="8">
                  <c:v>9.3080192839083292E-7</c:v>
                </c:pt>
                <c:pt idx="9">
                  <c:v>9.3629973504618228E-7</c:v>
                </c:pt>
                <c:pt idx="10">
                  <c:v>9.4124520117520913E-7</c:v>
                </c:pt>
                <c:pt idx="11">
                  <c:v>9.4574141851637151E-7</c:v>
                </c:pt>
                <c:pt idx="12">
                  <c:v>9.4986489490148417E-7</c:v>
                </c:pt>
                <c:pt idx="13">
                  <c:v>9.5367399999999999E-7</c:v>
                </c:pt>
                <c:pt idx="14">
                  <c:v>9.6076773728223047E-7</c:v>
                </c:pt>
                <c:pt idx="15">
                  <c:v>9.6741926881347123E-7</c:v>
                </c:pt>
                <c:pt idx="16">
                  <c:v>9.7368304069344087E-7</c:v>
                </c:pt>
                <c:pt idx="17">
                  <c:v>9.7960388662253621E-7</c:v>
                </c:pt>
                <c:pt idx="18">
                  <c:v>9.8521917983224938E-7</c:v>
                </c:pt>
                <c:pt idx="19">
                  <c:v>9.905604124405618E-7</c:v>
                </c:pt>
                <c:pt idx="20">
                  <c:v>9.9565437626574318E-7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C7-42F0-956D-42FD986BE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51823"/>
        <c:axId val="35466223"/>
      </c:scatterChart>
      <c:valAx>
        <c:axId val="3545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66223"/>
        <c:crosses val="autoZero"/>
        <c:crossBetween val="midCat"/>
      </c:valAx>
      <c:valAx>
        <c:axId val="354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5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定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变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 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小规模对比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朴素dp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Sheet1!$AD$2:$AD$22</c:f>
              <c:numCache>
                <c:formatCode>General</c:formatCode>
                <c:ptCount val="21"/>
                <c:pt idx="0">
                  <c:v>0</c:v>
                </c:pt>
                <c:pt idx="1">
                  <c:v>1.5783299999999999E-4</c:v>
                </c:pt>
                <c:pt idx="2">
                  <c:v>5.1665299999999995E-4</c:v>
                </c:pt>
                <c:pt idx="3">
                  <c:v>1.0127999999999999E-3</c:v>
                </c:pt>
                <c:pt idx="4">
                  <c:v>1.6770400000000001E-3</c:v>
                </c:pt>
                <c:pt idx="5">
                  <c:v>2.9881E-3</c:v>
                </c:pt>
                <c:pt idx="6">
                  <c:v>4.8508600000000002E-3</c:v>
                </c:pt>
                <c:pt idx="7">
                  <c:v>7.1327700000000001E-3</c:v>
                </c:pt>
                <c:pt idx="8">
                  <c:v>7.9574599999999995E-3</c:v>
                </c:pt>
                <c:pt idx="9">
                  <c:v>9.4432800000000001E-3</c:v>
                </c:pt>
                <c:pt idx="10">
                  <c:v>1.0278199999999999E-2</c:v>
                </c:pt>
                <c:pt idx="11">
                  <c:v>1.2711500000000001E-2</c:v>
                </c:pt>
                <c:pt idx="12">
                  <c:v>1.7914099999999999E-2</c:v>
                </c:pt>
                <c:pt idx="13">
                  <c:v>2.1499899999999999E-2</c:v>
                </c:pt>
                <c:pt idx="14">
                  <c:v>2.03331E-2</c:v>
                </c:pt>
                <c:pt idx="15">
                  <c:v>2.43669E-2</c:v>
                </c:pt>
                <c:pt idx="16">
                  <c:v>2.6060799999999999E-2</c:v>
                </c:pt>
                <c:pt idx="17">
                  <c:v>2.92251E-2</c:v>
                </c:pt>
                <c:pt idx="18">
                  <c:v>3.4120999999999999E-2</c:v>
                </c:pt>
                <c:pt idx="19">
                  <c:v>3.7115099999999998E-2</c:v>
                </c:pt>
                <c:pt idx="20">
                  <c:v>4.0551900000000002E-2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BD-4250-84C8-92FB8CB75C00}"/>
            </c:ext>
          </c:extLst>
        </c:ser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Sheet1!$AF$2:$AF$22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2.8610199999999999E-5</c:v>
                </c:pt>
                <c:pt idx="2">
                  <c:v>5.0306300000000003E-5</c:v>
                </c:pt>
                <c:pt idx="3">
                  <c:v>6.2227199999999999E-5</c:v>
                </c:pt>
                <c:pt idx="4">
                  <c:v>9.1314299999999994E-5</c:v>
                </c:pt>
                <c:pt idx="5">
                  <c:v>1.2898400000000001E-4</c:v>
                </c:pt>
                <c:pt idx="6">
                  <c:v>1.78099E-4</c:v>
                </c:pt>
                <c:pt idx="7">
                  <c:v>2.3007400000000001E-4</c:v>
                </c:pt>
                <c:pt idx="8">
                  <c:v>1.95503E-4</c:v>
                </c:pt>
                <c:pt idx="9" formatCode="General">
                  <c:v>1.89304E-4</c:v>
                </c:pt>
                <c:pt idx="10" formatCode="General">
                  <c:v>2.1004699999999999E-4</c:v>
                </c:pt>
                <c:pt idx="11" formatCode="General">
                  <c:v>3.3664699999999998E-4</c:v>
                </c:pt>
                <c:pt idx="12" formatCode="General">
                  <c:v>3.6764099999999999E-4</c:v>
                </c:pt>
                <c:pt idx="13" formatCode="General">
                  <c:v>2.7585000000000001E-4</c:v>
                </c:pt>
                <c:pt idx="14" formatCode="General">
                  <c:v>3.9529799999999998E-4</c:v>
                </c:pt>
                <c:pt idx="15" formatCode="General">
                  <c:v>3.2568000000000001E-4</c:v>
                </c:pt>
                <c:pt idx="16" formatCode="General">
                  <c:v>3.4427600000000002E-4</c:v>
                </c:pt>
                <c:pt idx="17" formatCode="General">
                  <c:v>3.6644899999999997E-4</c:v>
                </c:pt>
                <c:pt idx="18" formatCode="General">
                  <c:v>3.8981399999999999E-4</c:v>
                </c:pt>
                <c:pt idx="19" formatCode="General">
                  <c:v>4.1604000000000001E-4</c:v>
                </c:pt>
                <c:pt idx="20" formatCode="General">
                  <c:v>4.2676900000000002E-4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BD-4250-84C8-92FB8CB75C00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Sheet1!$AH$2:$AH$22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3.0040699999999999E-5</c:v>
                </c:pt>
                <c:pt idx="2">
                  <c:v>6.7949300000000003E-5</c:v>
                </c:pt>
                <c:pt idx="3">
                  <c:v>6.1512000000000003E-5</c:v>
                </c:pt>
                <c:pt idx="4">
                  <c:v>7.9870200000000007E-5</c:v>
                </c:pt>
                <c:pt idx="5">
                  <c:v>1.25408E-4</c:v>
                </c:pt>
                <c:pt idx="6">
                  <c:v>1.7452200000000001E-4</c:v>
                </c:pt>
                <c:pt idx="7">
                  <c:v>2.10285E-4</c:v>
                </c:pt>
                <c:pt idx="8" formatCode="General">
                  <c:v>1.6546200000000001E-4</c:v>
                </c:pt>
                <c:pt idx="9" formatCode="General">
                  <c:v>1.8501300000000001E-4</c:v>
                </c:pt>
                <c:pt idx="10" formatCode="General">
                  <c:v>2.0623199999999999E-4</c:v>
                </c:pt>
                <c:pt idx="11" formatCode="General">
                  <c:v>3.6859499999999999E-4</c:v>
                </c:pt>
                <c:pt idx="12" formatCode="General">
                  <c:v>3.6931000000000003E-4</c:v>
                </c:pt>
                <c:pt idx="13" formatCode="General">
                  <c:v>2.8753300000000003E-4</c:v>
                </c:pt>
                <c:pt idx="14" formatCode="General">
                  <c:v>3.8528400000000001E-4</c:v>
                </c:pt>
                <c:pt idx="15" formatCode="General">
                  <c:v>3.1566599999999998E-4</c:v>
                </c:pt>
                <c:pt idx="16" formatCode="General">
                  <c:v>3.4427600000000002E-4</c:v>
                </c:pt>
                <c:pt idx="17" formatCode="General">
                  <c:v>3.5667400000000002E-4</c:v>
                </c:pt>
                <c:pt idx="18" formatCode="General">
                  <c:v>3.7598599999999997E-4</c:v>
                </c:pt>
                <c:pt idx="19" formatCode="General">
                  <c:v>4.0149700000000001E-4</c:v>
                </c:pt>
                <c:pt idx="20" formatCode="General">
                  <c:v>4.3296799999999999E-4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BD-4250-84C8-92FB8CB75C00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Sheet1!$AJ$2:$AJ$22</c:f>
              <c:numCache>
                <c:formatCode>0.00E+00</c:formatCode>
                <c:ptCount val="21"/>
                <c:pt idx="0">
                  <c:v>0</c:v>
                </c:pt>
                <c:pt idx="1">
                  <c:v>7.1525600000000001E-7</c:v>
                </c:pt>
                <c:pt idx="2">
                  <c:v>7.1525600000000001E-7</c:v>
                </c:pt>
                <c:pt idx="3">
                  <c:v>7.1525600000000001E-7</c:v>
                </c:pt>
                <c:pt idx="4">
                  <c:v>4.76837E-7</c:v>
                </c:pt>
                <c:pt idx="5">
                  <c:v>7.1525600000000001E-7</c:v>
                </c:pt>
                <c:pt idx="6">
                  <c:v>1.1920899999999999E-6</c:v>
                </c:pt>
                <c:pt idx="7">
                  <c:v>1.43051E-6</c:v>
                </c:pt>
                <c:pt idx="8">
                  <c:v>9.5367399999999999E-7</c:v>
                </c:pt>
                <c:pt idx="9">
                  <c:v>7.1525600000000001E-7</c:v>
                </c:pt>
                <c:pt idx="10">
                  <c:v>7.1525600000000001E-7</c:v>
                </c:pt>
                <c:pt idx="11">
                  <c:v>1.1920899999999999E-6</c:v>
                </c:pt>
                <c:pt idx="12">
                  <c:v>1.90735E-6</c:v>
                </c:pt>
                <c:pt idx="13">
                  <c:v>9.5367399999999999E-7</c:v>
                </c:pt>
                <c:pt idx="14">
                  <c:v>9.5367399999999999E-7</c:v>
                </c:pt>
                <c:pt idx="15">
                  <c:v>9.5367399999999999E-7</c:v>
                </c:pt>
                <c:pt idx="16">
                  <c:v>9.5367399999999999E-7</c:v>
                </c:pt>
                <c:pt idx="17">
                  <c:v>9.5367399999999999E-7</c:v>
                </c:pt>
                <c:pt idx="18">
                  <c:v>9.5367399999999999E-7</c:v>
                </c:pt>
                <c:pt idx="19">
                  <c:v>7.1525600000000001E-7</c:v>
                </c:pt>
                <c:pt idx="20">
                  <c:v>9.5367399999999999E-7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BD-4250-84C8-92FB8CB7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56847"/>
        <c:axId val="1914264527"/>
      </c:scatterChart>
      <c:valAx>
        <c:axId val="191425684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64527"/>
        <c:crosses val="autoZero"/>
        <c:crossBetween val="midCat"/>
      </c:valAx>
      <c:valAx>
        <c:axId val="191426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5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 </a:t>
            </a:r>
            <a:r>
              <a:rPr lang="en-US" altLang="zh-CN"/>
              <a:t>1-10w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Sheet1!$BG$2:$BG$22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2.3286299999999999E-3</c:v>
                </c:pt>
                <c:pt idx="2">
                  <c:v>4.8120000000000003E-3</c:v>
                </c:pt>
                <c:pt idx="3">
                  <c:v>7.9450600000000003E-3</c:v>
                </c:pt>
                <c:pt idx="4">
                  <c:v>1.0137800000000001E-2</c:v>
                </c:pt>
                <c:pt idx="5">
                  <c:v>1.26178E-2</c:v>
                </c:pt>
                <c:pt idx="6">
                  <c:v>1.5121900000000001E-2</c:v>
                </c:pt>
                <c:pt idx="7">
                  <c:v>1.7940299999999999E-2</c:v>
                </c:pt>
                <c:pt idx="8">
                  <c:v>2.0535500000000002E-2</c:v>
                </c:pt>
                <c:pt idx="9" formatCode="General">
                  <c:v>2.3330699999999999E-2</c:v>
                </c:pt>
                <c:pt idx="10" formatCode="General">
                  <c:v>2.59595E-2</c:v>
                </c:pt>
                <c:pt idx="11" formatCode="General">
                  <c:v>2.8844600000000001E-2</c:v>
                </c:pt>
                <c:pt idx="12" formatCode="General">
                  <c:v>3.1135099999999999E-2</c:v>
                </c:pt>
                <c:pt idx="13" formatCode="General">
                  <c:v>3.4427600000000003E-2</c:v>
                </c:pt>
                <c:pt idx="14" formatCode="General">
                  <c:v>3.67725E-2</c:v>
                </c:pt>
                <c:pt idx="15" formatCode="General">
                  <c:v>4.3618900000000002E-2</c:v>
                </c:pt>
                <c:pt idx="16" formatCode="General">
                  <c:v>4.1679099999999997E-2</c:v>
                </c:pt>
                <c:pt idx="17" formatCode="General">
                  <c:v>4.4817900000000001E-2</c:v>
                </c:pt>
                <c:pt idx="18" formatCode="General">
                  <c:v>5.1695100000000001E-2</c:v>
                </c:pt>
                <c:pt idx="19" formatCode="General">
                  <c:v>5.1664599999999998E-2</c:v>
                </c:pt>
                <c:pt idx="20" formatCode="General">
                  <c:v>6.3922199999999998E-2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B-424D-B51B-E89E2FBFD0F4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Sheet1!$BF$2:$BF$22</c:f>
              <c:numCache>
                <c:formatCode>General</c:formatCode>
                <c:ptCount val="21"/>
                <c:pt idx="0">
                  <c:v>0</c:v>
                </c:pt>
                <c:pt idx="1">
                  <c:v>2.0434991442583031E-3</c:v>
                </c:pt>
                <c:pt idx="2">
                  <c:v>4.4196068459335779E-3</c:v>
                </c:pt>
                <c:pt idx="3">
                  <c:v>6.9212555691621994E-3</c:v>
                </c:pt>
                <c:pt idx="4">
                  <c:v>9.5044308067010995E-3</c:v>
                </c:pt>
                <c:pt idx="5">
                  <c:v>1.2148228606457574E-2</c:v>
                </c:pt>
                <c:pt idx="6">
                  <c:v>1.4840336810575314E-2</c:v>
                </c:pt>
                <c:pt idx="7">
                  <c:v>1.7572619957548673E-2</c:v>
                </c:pt>
                <c:pt idx="8">
                  <c:v>2.0339295843070086E-2</c:v>
                </c:pt>
                <c:pt idx="9">
                  <c:v>2.3136041116648465E-2</c:v>
                </c:pt>
                <c:pt idx="10">
                  <c:v>2.59595E-2</c:v>
                </c:pt>
                <c:pt idx="11">
                  <c:v>2.8806991667708188E-2</c:v>
                </c:pt>
                <c:pt idx="12">
                  <c:v>3.1676324965652446E-2</c:v>
                </c:pt>
                <c:pt idx="13">
                  <c:v>3.4565675332343858E-2</c:v>
                </c:pt>
                <c:pt idx="14">
                  <c:v>3.7473499817016129E-2</c:v>
                </c:pt>
                <c:pt idx="15">
                  <c:v>4.0398476501309143E-2</c:v>
                </c:pt>
                <c:pt idx="16">
                  <c:v>4.3339460145475919E-2</c:v>
                </c:pt>
                <c:pt idx="17">
                  <c:v>4.6295448964943017E-2</c:v>
                </c:pt>
                <c:pt idx="18">
                  <c:v>4.9265559250049655E-2</c:v>
                </c:pt>
                <c:pt idx="19">
                  <c:v>5.2249005642361922E-2</c:v>
                </c:pt>
                <c:pt idx="20">
                  <c:v>5.5245085574169711E-2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B-424D-B51B-E89E2FBFD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677519"/>
        <c:axId val="1836688559"/>
      </c:scatterChart>
      <c:valAx>
        <c:axId val="183667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88559"/>
        <c:crosses val="autoZero"/>
        <c:crossBetween val="midCat"/>
      </c:valAx>
      <c:valAx>
        <c:axId val="18366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77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朴素</a:t>
            </a:r>
            <a:r>
              <a:rPr lang="en-US" altLang="zh-CN"/>
              <a:t>dp  1-5w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Sheet1!$BC$2:$BC$12</c:f>
              <c:numCache>
                <c:formatCode>General</c:formatCode>
                <c:ptCount val="1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xVal>
          <c:yVal>
            <c:numRef>
              <c:f>Sheet1!$BE$2:$BE$12</c:f>
              <c:numCache>
                <c:formatCode>General</c:formatCode>
                <c:ptCount val="11"/>
                <c:pt idx="0">
                  <c:v>0</c:v>
                </c:pt>
                <c:pt idx="1">
                  <c:v>1.11432</c:v>
                </c:pt>
                <c:pt idx="2">
                  <c:v>4.0424100000000003</c:v>
                </c:pt>
                <c:pt idx="3">
                  <c:v>9.4241100000000007</c:v>
                </c:pt>
                <c:pt idx="4">
                  <c:v>16.5732</c:v>
                </c:pt>
                <c:pt idx="5">
                  <c:v>26.227900000000002</c:v>
                </c:pt>
                <c:pt idx="6">
                  <c:v>37.5062</c:v>
                </c:pt>
                <c:pt idx="7">
                  <c:v>52.121699999999997</c:v>
                </c:pt>
                <c:pt idx="8">
                  <c:v>67.437799999999996</c:v>
                </c:pt>
                <c:pt idx="9">
                  <c:v>83.939099999999996</c:v>
                </c:pt>
                <c:pt idx="10">
                  <c:v>104.44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68-486B-8069-BA9DC18C7FFE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Sheet1!$BC$2:$BC$12</c:f>
              <c:numCache>
                <c:formatCode>General</c:formatCode>
                <c:ptCount val="1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xVal>
          <c:yVal>
            <c:numRef>
              <c:f>Sheet1!$BD$2:$BD$12</c:f>
              <c:numCache>
                <c:formatCode>General</c:formatCode>
                <c:ptCount val="11"/>
                <c:pt idx="0">
                  <c:v>4.1775999999999996E-8</c:v>
                </c:pt>
                <c:pt idx="1">
                  <c:v>1.0444</c:v>
                </c:pt>
                <c:pt idx="2">
                  <c:v>4.1776</c:v>
                </c:pt>
                <c:pt idx="3">
                  <c:v>9.3995999999999995</c:v>
                </c:pt>
                <c:pt idx="4">
                  <c:v>16.7104</c:v>
                </c:pt>
                <c:pt idx="5">
                  <c:v>26.11</c:v>
                </c:pt>
                <c:pt idx="6">
                  <c:v>37.598399999999998</c:v>
                </c:pt>
                <c:pt idx="7">
                  <c:v>51.175599999999996</c:v>
                </c:pt>
                <c:pt idx="8">
                  <c:v>66.8416</c:v>
                </c:pt>
                <c:pt idx="9">
                  <c:v>84.596400000000003</c:v>
                </c:pt>
                <c:pt idx="10">
                  <c:v>104.44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68-486B-8069-BA9DC18C7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289167"/>
        <c:axId val="1836300207"/>
      </c:scatterChart>
      <c:valAx>
        <c:axId val="183628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300207"/>
        <c:crosses val="autoZero"/>
        <c:crossBetween val="midCat"/>
      </c:valAx>
      <c:valAx>
        <c:axId val="183630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28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空间优化  </a:t>
            </a:r>
            <a:r>
              <a:rPr lang="en-US" altLang="zh-CN"/>
              <a:t>1-10w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Sheet1!$BI$2:$BI$22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2.4416400000000001E-3</c:v>
                </c:pt>
                <c:pt idx="2">
                  <c:v>4.7941199999999998E-3</c:v>
                </c:pt>
                <c:pt idx="3">
                  <c:v>8.0063300000000007E-3</c:v>
                </c:pt>
                <c:pt idx="4">
                  <c:v>1.0071800000000001E-2</c:v>
                </c:pt>
                <c:pt idx="5">
                  <c:v>1.23906E-2</c:v>
                </c:pt>
                <c:pt idx="6">
                  <c:v>1.4984600000000001E-2</c:v>
                </c:pt>
                <c:pt idx="7">
                  <c:v>1.79267E-2</c:v>
                </c:pt>
                <c:pt idx="8" formatCode="General">
                  <c:v>2.0270300000000002E-2</c:v>
                </c:pt>
                <c:pt idx="9" formatCode="General">
                  <c:v>2.3162800000000001E-2</c:v>
                </c:pt>
                <c:pt idx="10" formatCode="General">
                  <c:v>2.5702200000000001E-2</c:v>
                </c:pt>
                <c:pt idx="11" formatCode="General">
                  <c:v>2.8552299999999999E-2</c:v>
                </c:pt>
                <c:pt idx="12" formatCode="General">
                  <c:v>3.2229899999999999E-2</c:v>
                </c:pt>
                <c:pt idx="13" formatCode="General">
                  <c:v>3.47219E-2</c:v>
                </c:pt>
                <c:pt idx="14" formatCode="General">
                  <c:v>4.0165199999999998E-2</c:v>
                </c:pt>
                <c:pt idx="15" formatCode="General">
                  <c:v>3.9528099999999997E-2</c:v>
                </c:pt>
                <c:pt idx="16" formatCode="General">
                  <c:v>4.40042E-2</c:v>
                </c:pt>
                <c:pt idx="17" formatCode="General">
                  <c:v>4.6422499999999998E-2</c:v>
                </c:pt>
                <c:pt idx="18" formatCode="General">
                  <c:v>5.0841299999999999E-2</c:v>
                </c:pt>
                <c:pt idx="19" formatCode="General">
                  <c:v>5.0821999999999999E-2</c:v>
                </c:pt>
                <c:pt idx="20" formatCode="General">
                  <c:v>5.3855399999999998E-2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6-4B74-8B9D-502812CDF555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Sheet1!$BH$2:$BH$22</c:f>
              <c:numCache>
                <c:formatCode>General</c:formatCode>
                <c:ptCount val="21"/>
                <c:pt idx="0">
                  <c:v>0</c:v>
                </c:pt>
                <c:pt idx="1">
                  <c:v>2.0232448123251898E-3</c:v>
                </c:pt>
                <c:pt idx="2">
                  <c:v>4.3758015013984864E-3</c:v>
                </c:pt>
                <c:pt idx="3">
                  <c:v>6.852654900507355E-3</c:v>
                </c:pt>
                <c:pt idx="4">
                  <c:v>9.4102267562931885E-3</c:v>
                </c:pt>
                <c:pt idx="5">
                  <c:v>1.2027820308129737E-2</c:v>
                </c:pt>
                <c:pt idx="6">
                  <c:v>1.4693245431259031E-2</c:v>
                </c:pt>
                <c:pt idx="7">
                  <c:v>1.7398447299559219E-2</c:v>
                </c:pt>
                <c:pt idx="8">
                  <c:v>2.0137701019578801E-2</c:v>
                </c:pt>
                <c:pt idx="9">
                  <c:v>2.2906726092117417E-2</c:v>
                </c:pt>
                <c:pt idx="10">
                  <c:v>2.5702200000000001E-2</c:v>
                </c:pt>
                <c:pt idx="11">
                  <c:v>2.852146848906063E-2</c:v>
                </c:pt>
                <c:pt idx="12">
                  <c:v>3.1362362123006707E-2</c:v>
                </c:pt>
                <c:pt idx="13">
                  <c:v>3.4223074424660285E-2</c:v>
                </c:pt>
                <c:pt idx="14">
                  <c:v>3.7102077736355189E-2</c:v>
                </c:pt>
                <c:pt idx="15">
                  <c:v>3.9998063242048139E-2</c:v>
                </c:pt>
                <c:pt idx="16">
                  <c:v>4.2909897053142472E-2</c:v>
                </c:pt>
                <c:pt idx="17">
                  <c:v>4.5836587314345777E-2</c:v>
                </c:pt>
                <c:pt idx="18">
                  <c:v>4.8777259074967806E-2</c:v>
                </c:pt>
                <c:pt idx="19">
                  <c:v>5.1731134760727854E-2</c:v>
                </c:pt>
                <c:pt idx="20">
                  <c:v>5.4697518767481065E-2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D6-4B74-8B9D-502812CDF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689039"/>
        <c:axId val="1836671759"/>
      </c:scatterChart>
      <c:valAx>
        <c:axId val="183668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71759"/>
        <c:crosses val="autoZero"/>
        <c:crossBetween val="midCat"/>
      </c:valAx>
      <c:valAx>
        <c:axId val="18366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8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逆向  </a:t>
            </a:r>
            <a:r>
              <a:rPr lang="en-US" altLang="zh-CN"/>
              <a:t>1-10w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Sheet1!$BK$2:$BK$22</c:f>
              <c:numCache>
                <c:formatCode>0.00E+00</c:formatCode>
                <c:ptCount val="21"/>
                <c:pt idx="0">
                  <c:v>0</c:v>
                </c:pt>
                <c:pt idx="1">
                  <c:v>1.43051E-6</c:v>
                </c:pt>
                <c:pt idx="2">
                  <c:v>1.66893E-6</c:v>
                </c:pt>
                <c:pt idx="3">
                  <c:v>1.43051E-6</c:v>
                </c:pt>
                <c:pt idx="4">
                  <c:v>1.43051E-6</c:v>
                </c:pt>
                <c:pt idx="5">
                  <c:v>1.1920899999999999E-6</c:v>
                </c:pt>
                <c:pt idx="6">
                  <c:v>1.66893E-6</c:v>
                </c:pt>
                <c:pt idx="7">
                  <c:v>1.90735E-6</c:v>
                </c:pt>
                <c:pt idx="8">
                  <c:v>1.66893E-6</c:v>
                </c:pt>
                <c:pt idx="9">
                  <c:v>1.43051E-6</c:v>
                </c:pt>
                <c:pt idx="10">
                  <c:v>1.43051E-6</c:v>
                </c:pt>
                <c:pt idx="11">
                  <c:v>1.66893E-6</c:v>
                </c:pt>
                <c:pt idx="12">
                  <c:v>1.66893E-6</c:v>
                </c:pt>
                <c:pt idx="13">
                  <c:v>1.66893E-6</c:v>
                </c:pt>
                <c:pt idx="14">
                  <c:v>2.3841900000000001E-6</c:v>
                </c:pt>
                <c:pt idx="15">
                  <c:v>2.1457699999999999E-6</c:v>
                </c:pt>
                <c:pt idx="16">
                  <c:v>1.90735E-6</c:v>
                </c:pt>
                <c:pt idx="17">
                  <c:v>1.66893E-6</c:v>
                </c:pt>
                <c:pt idx="18">
                  <c:v>1.90735E-6</c:v>
                </c:pt>
                <c:pt idx="19">
                  <c:v>1.66893E-6</c:v>
                </c:pt>
                <c:pt idx="20">
                  <c:v>1.90735E-6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1EB-8F0A-544685D845CF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Sheet1!$BJ$2:$BJ$22</c:f>
              <c:numCache>
                <c:formatCode>0.00E+00</c:formatCode>
                <c:ptCount val="21"/>
                <c:pt idx="0">
                  <c:v>9.6698555587033316E-7</c:v>
                </c:pt>
                <c:pt idx="1">
                  <c:v>1.4803639043622575E-6</c:v>
                </c:pt>
                <c:pt idx="2">
                  <c:v>1.5325688247071168E-6</c:v>
                </c:pt>
                <c:pt idx="3">
                  <c:v>1.5639560697154796E-6</c:v>
                </c:pt>
                <c:pt idx="4">
                  <c:v>1.5866147475920826E-6</c:v>
                </c:pt>
                <c:pt idx="5">
                  <c:v>1.604416011327605E-6</c:v>
                </c:pt>
                <c:pt idx="6">
                  <c:v>1.6191088614052561E-6</c:v>
                </c:pt>
                <c:pt idx="7">
                  <c:v>1.6316364142422412E-6</c:v>
                </c:pt>
                <c:pt idx="8">
                  <c:v>1.6425665958315238E-6</c:v>
                </c:pt>
                <c:pt idx="9">
                  <c:v>1.6522684596620262E-6</c:v>
                </c:pt>
                <c:pt idx="10">
                  <c:v>1.6609956197769598E-6</c:v>
                </c:pt>
                <c:pt idx="11">
                  <c:v>1.66893E-6</c:v>
                </c:pt>
                <c:pt idx="12">
                  <c:v>1.676206612093612E-6</c:v>
                </c:pt>
                <c:pt idx="13">
                  <c:v>1.6829284597864396E-6</c:v>
                </c:pt>
                <c:pt idx="14">
                  <c:v>1.6891759481273121E-6</c:v>
                </c:pt>
                <c:pt idx="15">
                  <c:v>1.6950130652810597E-6</c:v>
                </c:pt>
                <c:pt idx="16">
                  <c:v>1.7004915817379132E-6</c:v>
                </c:pt>
                <c:pt idx="17">
                  <c:v>1.7056539849558915E-6</c:v>
                </c:pt>
                <c:pt idx="18">
                  <c:v>1.7105355810575177E-6</c:v>
                </c:pt>
                <c:pt idx="19">
                  <c:v>1.7151660324160515E-6</c:v>
                </c:pt>
                <c:pt idx="20">
                  <c:v>1.719570503809256E-6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49-4308-A059-841C5E4C6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676079"/>
        <c:axId val="1836678959"/>
      </c:scatterChart>
      <c:valAx>
        <c:axId val="18366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78959"/>
        <c:crosses val="autoZero"/>
        <c:crossBetween val="midCat"/>
      </c:valAx>
      <c:valAx>
        <c:axId val="183667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6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定</a:t>
            </a:r>
            <a:r>
              <a:rPr lang="en-US" altLang="zh-CN"/>
              <a:t>e</a:t>
            </a:r>
            <a:r>
              <a:rPr lang="zh-CN" altLang="en-US"/>
              <a:t>变</a:t>
            </a:r>
            <a:r>
              <a:rPr lang="en-US" altLang="zh-CN"/>
              <a:t>f  1-10w</a:t>
            </a:r>
            <a:r>
              <a:rPr lang="zh-CN" altLang="en-US"/>
              <a:t>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朴素dp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Sheet1!$BE$2:$BE$12</c:f>
              <c:numCache>
                <c:formatCode>General</c:formatCode>
                <c:ptCount val="11"/>
                <c:pt idx="0">
                  <c:v>0</c:v>
                </c:pt>
                <c:pt idx="1">
                  <c:v>1.11432</c:v>
                </c:pt>
                <c:pt idx="2">
                  <c:v>4.0424100000000003</c:v>
                </c:pt>
                <c:pt idx="3">
                  <c:v>9.4241100000000007</c:v>
                </c:pt>
                <c:pt idx="4">
                  <c:v>16.5732</c:v>
                </c:pt>
                <c:pt idx="5">
                  <c:v>26.227900000000002</c:v>
                </c:pt>
                <c:pt idx="6">
                  <c:v>37.5062</c:v>
                </c:pt>
                <c:pt idx="7">
                  <c:v>52.121699999999997</c:v>
                </c:pt>
                <c:pt idx="8">
                  <c:v>67.437799999999996</c:v>
                </c:pt>
                <c:pt idx="9">
                  <c:v>83.939099999999996</c:v>
                </c:pt>
                <c:pt idx="10">
                  <c:v>104.44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90-4278-B3A9-3AA414B0C765}"/>
            </c:ext>
          </c:extLst>
        </c:ser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Sheet1!$BG$2:$BG$22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2.3286299999999999E-3</c:v>
                </c:pt>
                <c:pt idx="2">
                  <c:v>4.8120000000000003E-3</c:v>
                </c:pt>
                <c:pt idx="3">
                  <c:v>7.9450600000000003E-3</c:v>
                </c:pt>
                <c:pt idx="4">
                  <c:v>1.0137800000000001E-2</c:v>
                </c:pt>
                <c:pt idx="5">
                  <c:v>1.26178E-2</c:v>
                </c:pt>
                <c:pt idx="6">
                  <c:v>1.5121900000000001E-2</c:v>
                </c:pt>
                <c:pt idx="7">
                  <c:v>1.7940299999999999E-2</c:v>
                </c:pt>
                <c:pt idx="8">
                  <c:v>2.0535500000000002E-2</c:v>
                </c:pt>
                <c:pt idx="9" formatCode="General">
                  <c:v>2.3330699999999999E-2</c:v>
                </c:pt>
                <c:pt idx="10" formatCode="General">
                  <c:v>2.59595E-2</c:v>
                </c:pt>
                <c:pt idx="11" formatCode="General">
                  <c:v>2.8844600000000001E-2</c:v>
                </c:pt>
                <c:pt idx="12" formatCode="General">
                  <c:v>3.1135099999999999E-2</c:v>
                </c:pt>
                <c:pt idx="13" formatCode="General">
                  <c:v>3.4427600000000003E-2</c:v>
                </c:pt>
                <c:pt idx="14" formatCode="General">
                  <c:v>3.67725E-2</c:v>
                </c:pt>
                <c:pt idx="15" formatCode="General">
                  <c:v>4.3618900000000002E-2</c:v>
                </c:pt>
                <c:pt idx="16" formatCode="General">
                  <c:v>4.1679099999999997E-2</c:v>
                </c:pt>
                <c:pt idx="17" formatCode="General">
                  <c:v>4.4817900000000001E-2</c:v>
                </c:pt>
                <c:pt idx="18" formatCode="General">
                  <c:v>5.1695100000000001E-2</c:v>
                </c:pt>
                <c:pt idx="19" formatCode="General">
                  <c:v>5.1664599999999998E-2</c:v>
                </c:pt>
                <c:pt idx="20" formatCode="General">
                  <c:v>6.3922199999999998E-2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90-4278-B3A9-3AA414B0C765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Sheet1!$BI$2:$BI$22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2.4416400000000001E-3</c:v>
                </c:pt>
                <c:pt idx="2">
                  <c:v>4.7941199999999998E-3</c:v>
                </c:pt>
                <c:pt idx="3">
                  <c:v>8.0063300000000007E-3</c:v>
                </c:pt>
                <c:pt idx="4">
                  <c:v>1.0071800000000001E-2</c:v>
                </c:pt>
                <c:pt idx="5">
                  <c:v>1.23906E-2</c:v>
                </c:pt>
                <c:pt idx="6">
                  <c:v>1.4984600000000001E-2</c:v>
                </c:pt>
                <c:pt idx="7">
                  <c:v>1.79267E-2</c:v>
                </c:pt>
                <c:pt idx="8" formatCode="General">
                  <c:v>2.0270300000000002E-2</c:v>
                </c:pt>
                <c:pt idx="9" formatCode="General">
                  <c:v>2.3162800000000001E-2</c:v>
                </c:pt>
                <c:pt idx="10" formatCode="General">
                  <c:v>2.5702200000000001E-2</c:v>
                </c:pt>
                <c:pt idx="11" formatCode="General">
                  <c:v>2.8552299999999999E-2</c:v>
                </c:pt>
                <c:pt idx="12" formatCode="General">
                  <c:v>3.2229899999999999E-2</c:v>
                </c:pt>
                <c:pt idx="13" formatCode="General">
                  <c:v>3.47219E-2</c:v>
                </c:pt>
                <c:pt idx="14" formatCode="General">
                  <c:v>4.0165199999999998E-2</c:v>
                </c:pt>
                <c:pt idx="15" formatCode="General">
                  <c:v>3.9528099999999997E-2</c:v>
                </c:pt>
                <c:pt idx="16" formatCode="General">
                  <c:v>4.40042E-2</c:v>
                </c:pt>
                <c:pt idx="17" formatCode="General">
                  <c:v>4.6422499999999998E-2</c:v>
                </c:pt>
                <c:pt idx="18" formatCode="General">
                  <c:v>5.0841299999999999E-2</c:v>
                </c:pt>
                <c:pt idx="19" formatCode="General">
                  <c:v>5.0821999999999999E-2</c:v>
                </c:pt>
                <c:pt idx="20" formatCode="General">
                  <c:v>5.3855399999999998E-2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90-4278-B3A9-3AA414B0C765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Sheet1!$BK$2:$BK$22</c:f>
              <c:numCache>
                <c:formatCode>0.00E+00</c:formatCode>
                <c:ptCount val="21"/>
                <c:pt idx="0">
                  <c:v>0</c:v>
                </c:pt>
                <c:pt idx="1">
                  <c:v>1.43051E-6</c:v>
                </c:pt>
                <c:pt idx="2">
                  <c:v>1.66893E-6</c:v>
                </c:pt>
                <c:pt idx="3">
                  <c:v>1.43051E-6</c:v>
                </c:pt>
                <c:pt idx="4">
                  <c:v>1.43051E-6</c:v>
                </c:pt>
                <c:pt idx="5">
                  <c:v>1.1920899999999999E-6</c:v>
                </c:pt>
                <c:pt idx="6">
                  <c:v>1.66893E-6</c:v>
                </c:pt>
                <c:pt idx="7">
                  <c:v>1.90735E-6</c:v>
                </c:pt>
                <c:pt idx="8">
                  <c:v>1.66893E-6</c:v>
                </c:pt>
                <c:pt idx="9">
                  <c:v>1.43051E-6</c:v>
                </c:pt>
                <c:pt idx="10">
                  <c:v>1.43051E-6</c:v>
                </c:pt>
                <c:pt idx="11">
                  <c:v>1.66893E-6</c:v>
                </c:pt>
                <c:pt idx="12">
                  <c:v>1.66893E-6</c:v>
                </c:pt>
                <c:pt idx="13">
                  <c:v>1.66893E-6</c:v>
                </c:pt>
                <c:pt idx="14">
                  <c:v>2.3841900000000001E-6</c:v>
                </c:pt>
                <c:pt idx="15">
                  <c:v>2.1457699999999999E-6</c:v>
                </c:pt>
                <c:pt idx="16">
                  <c:v>1.90735E-6</c:v>
                </c:pt>
                <c:pt idx="17">
                  <c:v>1.66893E-6</c:v>
                </c:pt>
                <c:pt idx="18">
                  <c:v>1.90735E-6</c:v>
                </c:pt>
                <c:pt idx="19">
                  <c:v>1.66893E-6</c:v>
                </c:pt>
                <c:pt idx="20">
                  <c:v>1.90735E-6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90-4278-B3A9-3AA414B0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46367"/>
        <c:axId val="171044447"/>
      </c:scatterChart>
      <c:valAx>
        <c:axId val="1710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44447"/>
        <c:crosses val="autoZero"/>
        <c:crossBetween val="midCat"/>
      </c:valAx>
      <c:valAx>
        <c:axId val="1710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4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定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变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  1-10w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Sheet1!$BG$2:$BG$22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2.3286299999999999E-3</c:v>
                </c:pt>
                <c:pt idx="2">
                  <c:v>4.8120000000000003E-3</c:v>
                </c:pt>
                <c:pt idx="3">
                  <c:v>7.9450600000000003E-3</c:v>
                </c:pt>
                <c:pt idx="4">
                  <c:v>1.0137800000000001E-2</c:v>
                </c:pt>
                <c:pt idx="5">
                  <c:v>1.26178E-2</c:v>
                </c:pt>
                <c:pt idx="6">
                  <c:v>1.5121900000000001E-2</c:v>
                </c:pt>
                <c:pt idx="7">
                  <c:v>1.7940299999999999E-2</c:v>
                </c:pt>
                <c:pt idx="8">
                  <c:v>2.0535500000000002E-2</c:v>
                </c:pt>
                <c:pt idx="9" formatCode="General">
                  <c:v>2.3330699999999999E-2</c:v>
                </c:pt>
                <c:pt idx="10" formatCode="General">
                  <c:v>2.59595E-2</c:v>
                </c:pt>
                <c:pt idx="11" formatCode="General">
                  <c:v>2.8844600000000001E-2</c:v>
                </c:pt>
                <c:pt idx="12" formatCode="General">
                  <c:v>3.1135099999999999E-2</c:v>
                </c:pt>
                <c:pt idx="13" formatCode="General">
                  <c:v>3.4427600000000003E-2</c:v>
                </c:pt>
                <c:pt idx="14" formatCode="General">
                  <c:v>3.67725E-2</c:v>
                </c:pt>
                <c:pt idx="15" formatCode="General">
                  <c:v>4.3618900000000002E-2</c:v>
                </c:pt>
                <c:pt idx="16" formatCode="General">
                  <c:v>4.1679099999999997E-2</c:v>
                </c:pt>
                <c:pt idx="17" formatCode="General">
                  <c:v>4.4817900000000001E-2</c:v>
                </c:pt>
                <c:pt idx="18" formatCode="General">
                  <c:v>5.1695100000000001E-2</c:v>
                </c:pt>
                <c:pt idx="19" formatCode="General">
                  <c:v>5.1664599999999998E-2</c:v>
                </c:pt>
                <c:pt idx="20" formatCode="General">
                  <c:v>6.3922199999999998E-2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5B-4AEF-87E7-56957D958321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Sheet1!$BI$2:$BI$22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2.4416400000000001E-3</c:v>
                </c:pt>
                <c:pt idx="2">
                  <c:v>4.7941199999999998E-3</c:v>
                </c:pt>
                <c:pt idx="3">
                  <c:v>8.0063300000000007E-3</c:v>
                </c:pt>
                <c:pt idx="4">
                  <c:v>1.0071800000000001E-2</c:v>
                </c:pt>
                <c:pt idx="5">
                  <c:v>1.23906E-2</c:v>
                </c:pt>
                <c:pt idx="6">
                  <c:v>1.4984600000000001E-2</c:v>
                </c:pt>
                <c:pt idx="7">
                  <c:v>1.79267E-2</c:v>
                </c:pt>
                <c:pt idx="8" formatCode="General">
                  <c:v>2.0270300000000002E-2</c:v>
                </c:pt>
                <c:pt idx="9" formatCode="General">
                  <c:v>2.3162800000000001E-2</c:v>
                </c:pt>
                <c:pt idx="10" formatCode="General">
                  <c:v>2.5702200000000001E-2</c:v>
                </c:pt>
                <c:pt idx="11" formatCode="General">
                  <c:v>2.8552299999999999E-2</c:v>
                </c:pt>
                <c:pt idx="12" formatCode="General">
                  <c:v>3.2229899999999999E-2</c:v>
                </c:pt>
                <c:pt idx="13" formatCode="General">
                  <c:v>3.47219E-2</c:v>
                </c:pt>
                <c:pt idx="14" formatCode="General">
                  <c:v>4.0165199999999998E-2</c:v>
                </c:pt>
                <c:pt idx="15" formatCode="General">
                  <c:v>3.9528099999999997E-2</c:v>
                </c:pt>
                <c:pt idx="16" formatCode="General">
                  <c:v>4.40042E-2</c:v>
                </c:pt>
                <c:pt idx="17" formatCode="General">
                  <c:v>4.6422499999999998E-2</c:v>
                </c:pt>
                <c:pt idx="18" formatCode="General">
                  <c:v>5.0841299999999999E-2</c:v>
                </c:pt>
                <c:pt idx="19" formatCode="General">
                  <c:v>5.0821999999999999E-2</c:v>
                </c:pt>
                <c:pt idx="20" formatCode="General">
                  <c:v>5.3855399999999998E-2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5B-4AEF-87E7-56957D958321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Sheet1!$BC$2:$BC$22</c:f>
              <c:numCache>
                <c:formatCode>General</c:formatCode>
                <c:ptCount val="21"/>
                <c:pt idx="0">
                  <c:v>1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</c:numCache>
            </c:numRef>
          </c:xVal>
          <c:yVal>
            <c:numRef>
              <c:f>Sheet1!$BK$2:$BK$22</c:f>
              <c:numCache>
                <c:formatCode>0.00E+00</c:formatCode>
                <c:ptCount val="21"/>
                <c:pt idx="0">
                  <c:v>0</c:v>
                </c:pt>
                <c:pt idx="1">
                  <c:v>1.43051E-6</c:v>
                </c:pt>
                <c:pt idx="2">
                  <c:v>1.66893E-6</c:v>
                </c:pt>
                <c:pt idx="3">
                  <c:v>1.43051E-6</c:v>
                </c:pt>
                <c:pt idx="4">
                  <c:v>1.43051E-6</c:v>
                </c:pt>
                <c:pt idx="5">
                  <c:v>1.1920899999999999E-6</c:v>
                </c:pt>
                <c:pt idx="6">
                  <c:v>1.66893E-6</c:v>
                </c:pt>
                <c:pt idx="7">
                  <c:v>1.90735E-6</c:v>
                </c:pt>
                <c:pt idx="8">
                  <c:v>1.66893E-6</c:v>
                </c:pt>
                <c:pt idx="9">
                  <c:v>1.43051E-6</c:v>
                </c:pt>
                <c:pt idx="10">
                  <c:v>1.43051E-6</c:v>
                </c:pt>
                <c:pt idx="11">
                  <c:v>1.66893E-6</c:v>
                </c:pt>
                <c:pt idx="12">
                  <c:v>1.66893E-6</c:v>
                </c:pt>
                <c:pt idx="13">
                  <c:v>1.66893E-6</c:v>
                </c:pt>
                <c:pt idx="14">
                  <c:v>2.3841900000000001E-6</c:v>
                </c:pt>
                <c:pt idx="15">
                  <c:v>2.1457699999999999E-6</c:v>
                </c:pt>
                <c:pt idx="16">
                  <c:v>1.90735E-6</c:v>
                </c:pt>
                <c:pt idx="17">
                  <c:v>1.66893E-6</c:v>
                </c:pt>
                <c:pt idx="18">
                  <c:v>1.90735E-6</c:v>
                </c:pt>
                <c:pt idx="19">
                  <c:v>1.66893E-6</c:v>
                </c:pt>
                <c:pt idx="20">
                  <c:v>1.90735E-6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5B-4AEF-87E7-56957D958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46367"/>
        <c:axId val="1710444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朴素dp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Sheet1!$BC$2:$BC$22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5000</c:v>
                      </c:pt>
                      <c:pt idx="2">
                        <c:v>10000</c:v>
                      </c:pt>
                      <c:pt idx="3">
                        <c:v>15000</c:v>
                      </c:pt>
                      <c:pt idx="4">
                        <c:v>20000</c:v>
                      </c:pt>
                      <c:pt idx="5">
                        <c:v>25000</c:v>
                      </c:pt>
                      <c:pt idx="6">
                        <c:v>30000</c:v>
                      </c:pt>
                      <c:pt idx="7">
                        <c:v>35000</c:v>
                      </c:pt>
                      <c:pt idx="8">
                        <c:v>40000</c:v>
                      </c:pt>
                      <c:pt idx="9">
                        <c:v>45000</c:v>
                      </c:pt>
                      <c:pt idx="10">
                        <c:v>50000</c:v>
                      </c:pt>
                      <c:pt idx="11">
                        <c:v>55000</c:v>
                      </c:pt>
                      <c:pt idx="12">
                        <c:v>60000</c:v>
                      </c:pt>
                      <c:pt idx="13">
                        <c:v>65000</c:v>
                      </c:pt>
                      <c:pt idx="14">
                        <c:v>70000</c:v>
                      </c:pt>
                      <c:pt idx="15">
                        <c:v>75000</c:v>
                      </c:pt>
                      <c:pt idx="16">
                        <c:v>80000</c:v>
                      </c:pt>
                      <c:pt idx="17">
                        <c:v>85000</c:v>
                      </c:pt>
                      <c:pt idx="18">
                        <c:v>90000</c:v>
                      </c:pt>
                      <c:pt idx="19">
                        <c:v>95000</c:v>
                      </c:pt>
                      <c:pt idx="20">
                        <c:v>100000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Sheet1!$BE$2:$BE$12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1.11432</c:v>
                      </c:pt>
                      <c:pt idx="2">
                        <c:v>4.0424100000000003</c:v>
                      </c:pt>
                      <c:pt idx="3">
                        <c:v>9.4241100000000007</c:v>
                      </c:pt>
                      <c:pt idx="4">
                        <c:v>16.5732</c:v>
                      </c:pt>
                      <c:pt idx="5">
                        <c:v>26.227900000000002</c:v>
                      </c:pt>
                      <c:pt idx="6">
                        <c:v>37.5062</c:v>
                      </c:pt>
                      <c:pt idx="7">
                        <c:v>52.121699999999997</c:v>
                      </c:pt>
                      <c:pt idx="8">
                        <c:v>67.437799999999996</c:v>
                      </c:pt>
                      <c:pt idx="9">
                        <c:v>83.939099999999996</c:v>
                      </c:pt>
                      <c:pt idx="10">
                        <c:v>104.44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A5B-4AEF-87E7-56957D958321}"/>
                  </c:ext>
                </c:extLst>
              </c15:ser>
            </c15:filteredScatterSeries>
          </c:ext>
        </c:extLst>
      </c:scatterChart>
      <c:valAx>
        <c:axId val="171046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44447"/>
        <c:crosses val="autoZero"/>
        <c:crossBetween val="midCat"/>
      </c:valAx>
      <c:valAx>
        <c:axId val="17104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46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 </a:t>
            </a:r>
            <a:r>
              <a:rPr lang="en-US" altLang="zh-CN"/>
              <a:t>50w-1000w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Sheet1!$BC$24:$BC$33</c:f>
              <c:numCache>
                <c:formatCode>General</c:formatCode>
                <c:ptCount val="1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</c:numCache>
            </c:numRef>
          </c:xVal>
          <c:yVal>
            <c:numRef>
              <c:f>Sheet1!$BG$24:$BG$33</c:f>
              <c:numCache>
                <c:formatCode>General</c:formatCode>
                <c:ptCount val="10"/>
                <c:pt idx="0">
                  <c:v>0.57952199999999998</c:v>
                </c:pt>
                <c:pt idx="1">
                  <c:v>1.18</c:v>
                </c:pt>
                <c:pt idx="2">
                  <c:v>1.7570699999999999</c:v>
                </c:pt>
                <c:pt idx="3">
                  <c:v>2.4328099999999999</c:v>
                </c:pt>
                <c:pt idx="4">
                  <c:v>3</c:v>
                </c:pt>
                <c:pt idx="5">
                  <c:v>3.63503</c:v>
                </c:pt>
                <c:pt idx="6">
                  <c:v>4.1864100000000004</c:v>
                </c:pt>
                <c:pt idx="7">
                  <c:v>4.8672000000000004</c:v>
                </c:pt>
                <c:pt idx="8">
                  <c:v>5.4898800000000003</c:v>
                </c:pt>
                <c:pt idx="9">
                  <c:v>6.0472599999999996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A7-49F1-AC1D-2CD0D819D46B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Sheet1!$BC$24:$BC$33</c:f>
              <c:numCache>
                <c:formatCode>General</c:formatCode>
                <c:ptCount val="1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</c:numCache>
            </c:numRef>
          </c:xVal>
          <c:yVal>
            <c:numRef>
              <c:f>Sheet1!$BF$24:$BF$33</c:f>
              <c:numCache>
                <c:formatCode>General</c:formatCode>
                <c:ptCount val="10"/>
                <c:pt idx="0">
                  <c:v>0.53445046342523306</c:v>
                </c:pt>
                <c:pt idx="1">
                  <c:v>1.1253622244411192</c:v>
                </c:pt>
                <c:pt idx="2">
                  <c:v>1.7375849494105635</c:v>
                </c:pt>
                <c:pt idx="3">
                  <c:v>2.3636470440635451</c:v>
                </c:pt>
                <c:pt idx="4">
                  <c:v>3</c:v>
                </c:pt>
                <c:pt idx="5">
                  <c:v>3.6445537915930872</c:v>
                </c:pt>
                <c:pt idx="6">
                  <c:v>4.2959273999157084</c:v>
                </c:pt>
                <c:pt idx="7">
                  <c:v>4.9531392784897008</c:v>
                </c:pt>
                <c:pt idx="8">
                  <c:v>5.6154555256362837</c:v>
                </c:pt>
                <c:pt idx="9">
                  <c:v>6.2823064879532629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A7-49F1-AC1D-2CD0D819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306927"/>
        <c:axId val="1836299247"/>
      </c:scatterChart>
      <c:valAx>
        <c:axId val="18363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299247"/>
        <c:crosses val="autoZero"/>
        <c:crossBetween val="midCat"/>
      </c:valAx>
      <c:valAx>
        <c:axId val="1836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306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空间优化  </a:t>
            </a:r>
            <a:r>
              <a:rPr lang="en-US" altLang="zh-CN"/>
              <a:t>50w-1000w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Sheet1!$BI$24:$BI$43</c:f>
              <c:numCache>
                <c:formatCode>General</c:formatCode>
                <c:ptCount val="20"/>
                <c:pt idx="0">
                  <c:v>0.57620499999999997</c:v>
                </c:pt>
                <c:pt idx="1">
                  <c:v>1.1687000000000001</c:v>
                </c:pt>
                <c:pt idx="2">
                  <c:v>1.76007</c:v>
                </c:pt>
                <c:pt idx="3">
                  <c:v>2.39812</c:v>
                </c:pt>
                <c:pt idx="4">
                  <c:v>2.9800200000000001</c:v>
                </c:pt>
                <c:pt idx="5">
                  <c:v>3.5238299999999998</c:v>
                </c:pt>
                <c:pt idx="6">
                  <c:v>4.1599000000000004</c:v>
                </c:pt>
                <c:pt idx="7">
                  <c:v>4.7582500000000003</c:v>
                </c:pt>
                <c:pt idx="8">
                  <c:v>5.4082299999999996</c:v>
                </c:pt>
                <c:pt idx="9">
                  <c:v>6.0092299999999996</c:v>
                </c:pt>
                <c:pt idx="10">
                  <c:v>6.63063</c:v>
                </c:pt>
                <c:pt idx="11">
                  <c:v>7.2288899999999998</c:v>
                </c:pt>
                <c:pt idx="12">
                  <c:v>7.9097600000000003</c:v>
                </c:pt>
                <c:pt idx="13">
                  <c:v>8.4548500000000004</c:v>
                </c:pt>
                <c:pt idx="14">
                  <c:v>9.1029599999999995</c:v>
                </c:pt>
                <c:pt idx="15">
                  <c:v>9.6710999999999991</c:v>
                </c:pt>
                <c:pt idx="16">
                  <c:v>10.2706</c:v>
                </c:pt>
                <c:pt idx="17">
                  <c:v>10.857100000000001</c:v>
                </c:pt>
                <c:pt idx="18">
                  <c:v>11.5023</c:v>
                </c:pt>
                <c:pt idx="19">
                  <c:v>12.188700000000001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A-4A8F-9DDE-E28DCFAC5656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Sheet1!$BH$24:$BH$43</c:f>
              <c:numCache>
                <c:formatCode>General</c:formatCode>
                <c:ptCount val="20"/>
                <c:pt idx="0">
                  <c:v>0.50965373851129314</c:v>
                </c:pt>
                <c:pt idx="1">
                  <c:v>1.0731491580903783</c:v>
                </c:pt>
                <c:pt idx="2">
                  <c:v>1.6569667837362372</c:v>
                </c:pt>
                <c:pt idx="3">
                  <c:v>2.2539816783163404</c:v>
                </c:pt>
                <c:pt idx="4">
                  <c:v>2.8608099724246436</c:v>
                </c:pt>
                <c:pt idx="5">
                  <c:v>3.47545861067585</c:v>
                </c:pt>
                <c:pt idx="6">
                  <c:v>4.0966106488303771</c:v>
                </c:pt>
                <c:pt idx="7">
                  <c:v>4.7233300809038488</c:v>
                </c:pt>
                <c:pt idx="8">
                  <c:v>5.3549170558157844</c:v>
                </c:pt>
                <c:pt idx="9">
                  <c:v>5.9908283501882469</c:v>
                </c:pt>
                <c:pt idx="10">
                  <c:v>6.63063</c:v>
                </c:pt>
                <c:pt idx="11">
                  <c:v>7.2739673077584523</c:v>
                </c:pt>
                <c:pt idx="12">
                  <c:v>7.9205449188926389</c:v>
                </c:pt>
                <c:pt idx="13">
                  <c:v>8.570113065135299</c:v>
                </c:pt>
                <c:pt idx="14">
                  <c:v>9.2224577582857208</c:v>
                </c:pt>
                <c:pt idx="15">
                  <c:v>9.877393610350035</c:v>
                </c:pt>
                <c:pt idx="16">
                  <c:v>10.534758455429923</c:v>
                </c:pt>
                <c:pt idx="17">
                  <c:v>11.194409241241697</c:v>
                </c:pt>
                <c:pt idx="18">
                  <c:v>11.856218836304885</c:v>
                </c:pt>
                <c:pt idx="19">
                  <c:v>12.520073511054411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0A-4A8F-9DDE-E28DCFAC5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08335"/>
        <c:axId val="56403055"/>
      </c:scatterChart>
      <c:valAx>
        <c:axId val="5640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3055"/>
        <c:crosses val="autoZero"/>
        <c:crossBetween val="midCat"/>
      </c:valAx>
      <c:valAx>
        <c:axId val="564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空间优化影响  </a:t>
            </a:r>
            <a:r>
              <a:rPr lang="en-US" altLang="zh-CN"/>
              <a:t>50w-1000w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dp二分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Sheet1!$BG$24:$BG$33</c:f>
              <c:numCache>
                <c:formatCode>General</c:formatCode>
                <c:ptCount val="10"/>
                <c:pt idx="0">
                  <c:v>0.57952199999999998</c:v>
                </c:pt>
                <c:pt idx="1">
                  <c:v>1.18</c:v>
                </c:pt>
                <c:pt idx="2">
                  <c:v>1.7570699999999999</c:v>
                </c:pt>
                <c:pt idx="3">
                  <c:v>2.4328099999999999</c:v>
                </c:pt>
                <c:pt idx="4">
                  <c:v>3</c:v>
                </c:pt>
                <c:pt idx="5">
                  <c:v>3.63503</c:v>
                </c:pt>
                <c:pt idx="6">
                  <c:v>4.1864100000000004</c:v>
                </c:pt>
                <c:pt idx="7">
                  <c:v>4.8672000000000004</c:v>
                </c:pt>
                <c:pt idx="8">
                  <c:v>5.4898800000000003</c:v>
                </c:pt>
                <c:pt idx="9">
                  <c:v>6.0472599999999996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0C-49A7-B957-74E607099C14}"/>
            </c:ext>
          </c:extLst>
        </c:ser>
        <c:ser>
          <c:idx val="1"/>
          <c:order val="1"/>
          <c:tx>
            <c:v>空间优化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Sheet1!$BI$24:$BI$43</c:f>
              <c:numCache>
                <c:formatCode>General</c:formatCode>
                <c:ptCount val="20"/>
                <c:pt idx="0">
                  <c:v>0.57620499999999997</c:v>
                </c:pt>
                <c:pt idx="1">
                  <c:v>1.1687000000000001</c:v>
                </c:pt>
                <c:pt idx="2">
                  <c:v>1.76007</c:v>
                </c:pt>
                <c:pt idx="3">
                  <c:v>2.39812</c:v>
                </c:pt>
                <c:pt idx="4">
                  <c:v>2.9800200000000001</c:v>
                </c:pt>
                <c:pt idx="5">
                  <c:v>3.5238299999999998</c:v>
                </c:pt>
                <c:pt idx="6">
                  <c:v>4.1599000000000004</c:v>
                </c:pt>
                <c:pt idx="7">
                  <c:v>4.7582500000000003</c:v>
                </c:pt>
                <c:pt idx="8">
                  <c:v>5.4082299999999996</c:v>
                </c:pt>
                <c:pt idx="9">
                  <c:v>6.0092299999999996</c:v>
                </c:pt>
                <c:pt idx="10">
                  <c:v>6.63063</c:v>
                </c:pt>
                <c:pt idx="11">
                  <c:v>7.2288899999999998</c:v>
                </c:pt>
                <c:pt idx="12">
                  <c:v>7.9097600000000003</c:v>
                </c:pt>
                <c:pt idx="13">
                  <c:v>8.4548500000000004</c:v>
                </c:pt>
                <c:pt idx="14">
                  <c:v>9.1029599999999995</c:v>
                </c:pt>
                <c:pt idx="15">
                  <c:v>9.6710999999999991</c:v>
                </c:pt>
                <c:pt idx="16">
                  <c:v>10.2706</c:v>
                </c:pt>
                <c:pt idx="17">
                  <c:v>10.857100000000001</c:v>
                </c:pt>
                <c:pt idx="18">
                  <c:v>11.5023</c:v>
                </c:pt>
                <c:pt idx="19">
                  <c:v>12.188700000000001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0C-49A7-B957-74E607099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993439"/>
        <c:axId val="1839996799"/>
      </c:scatterChart>
      <c:valAx>
        <c:axId val="183999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9996799"/>
        <c:crosses val="autoZero"/>
        <c:crossBetween val="midCat"/>
      </c:valAx>
      <c:valAx>
        <c:axId val="18399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9993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逆向  </a:t>
            </a:r>
            <a:r>
              <a:rPr lang="en-US" altLang="zh-CN"/>
              <a:t>50w-1000w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Sheet1!$BK$24:$BK$43</c:f>
              <c:numCache>
                <c:formatCode>0.00E+00</c:formatCode>
                <c:ptCount val="20"/>
                <c:pt idx="0">
                  <c:v>4.5299499999999997E-6</c:v>
                </c:pt>
                <c:pt idx="1">
                  <c:v>4.5299499999999997E-6</c:v>
                </c:pt>
                <c:pt idx="2">
                  <c:v>5.0067900000000002E-6</c:v>
                </c:pt>
                <c:pt idx="3">
                  <c:v>5.0067900000000002E-6</c:v>
                </c:pt>
                <c:pt idx="4">
                  <c:v>5.24521E-6</c:v>
                </c:pt>
                <c:pt idx="5">
                  <c:v>5.24521E-6</c:v>
                </c:pt>
                <c:pt idx="6">
                  <c:v>7.3909800000000003E-6</c:v>
                </c:pt>
                <c:pt idx="7">
                  <c:v>5.24521E-6</c:v>
                </c:pt>
                <c:pt idx="8">
                  <c:v>6.67572E-6</c:v>
                </c:pt>
                <c:pt idx="9">
                  <c:v>5.4836299999999999E-6</c:v>
                </c:pt>
                <c:pt idx="10">
                  <c:v>6.9141399999999998E-6</c:v>
                </c:pt>
                <c:pt idx="11">
                  <c:v>5.0067900000000002E-6</c:v>
                </c:pt>
                <c:pt idx="12">
                  <c:v>5.0067900000000002E-6</c:v>
                </c:pt>
                <c:pt idx="13">
                  <c:v>5.4836299999999999E-6</c:v>
                </c:pt>
                <c:pt idx="14">
                  <c:v>6.67572E-6</c:v>
                </c:pt>
                <c:pt idx="15">
                  <c:v>5.0067900000000002E-6</c:v>
                </c:pt>
                <c:pt idx="16">
                  <c:v>5.7220499999999997E-6</c:v>
                </c:pt>
                <c:pt idx="17">
                  <c:v>5.4836299999999999E-6</c:v>
                </c:pt>
                <c:pt idx="18">
                  <c:v>5.7220499999999997E-6</c:v>
                </c:pt>
                <c:pt idx="19">
                  <c:v>5.7220499999999997E-6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36-4FE1-8616-CCB6E6303134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Sheet1!$BC$24:$BC$43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Sheet1!$BJ$24:$BJ$43</c:f>
              <c:numCache>
                <c:formatCode>0.00E+00</c:formatCode>
                <c:ptCount val="20"/>
                <c:pt idx="0">
                  <c:v>4.8872903818783507E-6</c:v>
                </c:pt>
                <c:pt idx="1">
                  <c:v>5.0596403049859873E-6</c:v>
                </c:pt>
                <c:pt idx="2">
                  <c:v>5.1632625158430644E-6</c:v>
                </c:pt>
                <c:pt idx="3">
                  <c:v>5.2380681350060826E-6</c:v>
                </c:pt>
                <c:pt idx="4">
                  <c:v>5.2968374313821505E-6</c:v>
                </c:pt>
                <c:pt idx="5">
                  <c:v>5.3453445752373097E-6</c:v>
                </c:pt>
                <c:pt idx="6">
                  <c:v>5.3867031819341181E-6</c:v>
                </c:pt>
                <c:pt idx="7">
                  <c:v>5.4227882088630186E-6</c:v>
                </c:pt>
                <c:pt idx="8">
                  <c:v>5.4548180534474384E-6</c:v>
                </c:pt>
                <c:pt idx="9">
                  <c:v>5.4836299999999999E-6</c:v>
                </c:pt>
                <c:pt idx="10">
                  <c:v>5.5098246539198648E-6</c:v>
                </c:pt>
                <c:pt idx="11">
                  <c:v>5.5338477445889732E-6</c:v>
                </c:pt>
                <c:pt idx="12">
                  <c:v>5.5560393296990958E-6</c:v>
                </c:pt>
                <c:pt idx="13">
                  <c:v>5.5766648594011303E-6</c:v>
                </c:pt>
                <c:pt idx="14">
                  <c:v>5.5959355849567478E-6</c:v>
                </c:pt>
                <c:pt idx="15">
                  <c:v>5.614022422056493E-6</c:v>
                </c:pt>
                <c:pt idx="16">
                  <c:v>5.6310656392818355E-6</c:v>
                </c:pt>
                <c:pt idx="17">
                  <c:v>5.6471817966708327E-6</c:v>
                </c:pt>
                <c:pt idx="18">
                  <c:v>5.6624688219229558E-6</c:v>
                </c:pt>
                <c:pt idx="19">
                  <c:v>5.6770097943242931E-6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75-437C-8C76-E217698B4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311247"/>
        <c:axId val="1836305007"/>
      </c:scatterChart>
      <c:valAx>
        <c:axId val="183631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305007"/>
        <c:crosses val="autoZero"/>
        <c:crossBetween val="midCat"/>
      </c:valAx>
      <c:valAx>
        <c:axId val="183630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631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朴素</a:t>
            </a:r>
            <a:r>
              <a:rPr lang="en-US" altLang="zh-CN"/>
              <a:t>dp  1-100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Sheet1!$CE$2:$CE$22</c:f>
              <c:numCache>
                <c:formatCode>General</c:formatCode>
                <c:ptCount val="21"/>
                <c:pt idx="0" formatCode="0.00E+00">
                  <c:v>2.3841900000000001E-7</c:v>
                </c:pt>
                <c:pt idx="1">
                  <c:v>0.86990599999999996</c:v>
                </c:pt>
                <c:pt idx="2">
                  <c:v>1.9602900000000001</c:v>
                </c:pt>
                <c:pt idx="3">
                  <c:v>3.0309599999999999</c:v>
                </c:pt>
                <c:pt idx="4">
                  <c:v>4.1985799999999998</c:v>
                </c:pt>
                <c:pt idx="5">
                  <c:v>5.2858799999999997</c:v>
                </c:pt>
                <c:pt idx="6">
                  <c:v>6.3430299999999997</c:v>
                </c:pt>
                <c:pt idx="7">
                  <c:v>7.5034599999999996</c:v>
                </c:pt>
                <c:pt idx="8">
                  <c:v>8.6380400000000002</c:v>
                </c:pt>
                <c:pt idx="9">
                  <c:v>9.7784300000000002</c:v>
                </c:pt>
                <c:pt idx="10">
                  <c:v>10.690799999999999</c:v>
                </c:pt>
                <c:pt idx="11">
                  <c:v>12.0723</c:v>
                </c:pt>
                <c:pt idx="12">
                  <c:v>13.026400000000001</c:v>
                </c:pt>
                <c:pt idx="13">
                  <c:v>14.1075</c:v>
                </c:pt>
                <c:pt idx="14">
                  <c:v>14.959</c:v>
                </c:pt>
                <c:pt idx="15">
                  <c:v>16.347999999999999</c:v>
                </c:pt>
                <c:pt idx="16">
                  <c:v>17.359300000000001</c:v>
                </c:pt>
                <c:pt idx="17">
                  <c:v>18.614100000000001</c:v>
                </c:pt>
                <c:pt idx="18">
                  <c:v>19.661300000000001</c:v>
                </c:pt>
                <c:pt idx="19">
                  <c:v>20.843299999999999</c:v>
                </c:pt>
                <c:pt idx="20">
                  <c:v>22.077100000000002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BB-49DD-BF2D-82A1CD2A8E76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Sheet1!$CD$2:$CD$22</c:f>
              <c:numCache>
                <c:formatCode>General</c:formatCode>
                <c:ptCount val="21"/>
                <c:pt idx="0">
                  <c:v>0.21381599999999995</c:v>
                </c:pt>
                <c:pt idx="1">
                  <c:v>1.0690799999999998</c:v>
                </c:pt>
                <c:pt idx="2">
                  <c:v>2.1381599999999996</c:v>
                </c:pt>
                <c:pt idx="3">
                  <c:v>3.2072399999999992</c:v>
                </c:pt>
                <c:pt idx="4">
                  <c:v>4.2763199999999992</c:v>
                </c:pt>
                <c:pt idx="5">
                  <c:v>5.3453999999999997</c:v>
                </c:pt>
                <c:pt idx="6">
                  <c:v>6.4144800000000002</c:v>
                </c:pt>
                <c:pt idx="7">
                  <c:v>7.4835600000000007</c:v>
                </c:pt>
                <c:pt idx="8">
                  <c:v>8.5526400000000002</c:v>
                </c:pt>
                <c:pt idx="9">
                  <c:v>9.6217199999999998</c:v>
                </c:pt>
                <c:pt idx="10">
                  <c:v>10.690799999999999</c:v>
                </c:pt>
                <c:pt idx="11">
                  <c:v>11.759879999999999</c:v>
                </c:pt>
                <c:pt idx="12">
                  <c:v>12.828959999999999</c:v>
                </c:pt>
                <c:pt idx="13">
                  <c:v>13.898039999999998</c:v>
                </c:pt>
                <c:pt idx="14">
                  <c:v>14.967119999999998</c:v>
                </c:pt>
                <c:pt idx="15">
                  <c:v>16.036199999999997</c:v>
                </c:pt>
                <c:pt idx="16">
                  <c:v>17.105279999999997</c:v>
                </c:pt>
                <c:pt idx="17">
                  <c:v>18.174359999999997</c:v>
                </c:pt>
                <c:pt idx="18">
                  <c:v>19.243439999999996</c:v>
                </c:pt>
                <c:pt idx="19">
                  <c:v>20.312519999999996</c:v>
                </c:pt>
                <c:pt idx="20">
                  <c:v>21.381599999999995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BB-49DD-BF2D-82A1CD2A8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1487"/>
        <c:axId val="171055967"/>
      </c:scatterChart>
      <c:valAx>
        <c:axId val="1710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55967"/>
        <c:crosses val="autoZero"/>
        <c:crossBetween val="midCat"/>
      </c:valAx>
      <c:valAx>
        <c:axId val="1710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3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dp</a:t>
            </a:r>
            <a:r>
              <a:rPr lang="zh-CN" altLang="en-US"/>
              <a:t>二分  </a:t>
            </a:r>
            <a:r>
              <a:rPr lang="en-US" altLang="zh-CN"/>
              <a:t>1-100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1F-4063-809C-448B4B46CD42}"/>
              </c:ext>
            </c:extLst>
          </c:dPt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Sheet1!$CG$2:$CG$22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1.9779200000000002E-3</c:v>
                </c:pt>
                <c:pt idx="2">
                  <c:v>3.11875E-3</c:v>
                </c:pt>
                <c:pt idx="3">
                  <c:v>3.9377199999999996E-3</c:v>
                </c:pt>
                <c:pt idx="4">
                  <c:v>4.8522900000000004E-3</c:v>
                </c:pt>
                <c:pt idx="5">
                  <c:v>5.76138E-3</c:v>
                </c:pt>
                <c:pt idx="6">
                  <c:v>6.6842999999999998E-3</c:v>
                </c:pt>
                <c:pt idx="7">
                  <c:v>7.54523E-3</c:v>
                </c:pt>
                <c:pt idx="8">
                  <c:v>8.4707700000000007E-3</c:v>
                </c:pt>
                <c:pt idx="9" formatCode="General">
                  <c:v>9.4711799999999992E-3</c:v>
                </c:pt>
                <c:pt idx="10" formatCode="General">
                  <c:v>1.0489E-2</c:v>
                </c:pt>
                <c:pt idx="11" formatCode="General">
                  <c:v>1.58739E-2</c:v>
                </c:pt>
                <c:pt idx="12" formatCode="General">
                  <c:v>1.2085E-2</c:v>
                </c:pt>
                <c:pt idx="13" formatCode="General">
                  <c:v>1.38917E-2</c:v>
                </c:pt>
                <c:pt idx="14" formatCode="General">
                  <c:v>1.39968E-2</c:v>
                </c:pt>
                <c:pt idx="15" formatCode="General">
                  <c:v>1.48191E-2</c:v>
                </c:pt>
                <c:pt idx="16" formatCode="General">
                  <c:v>1.5646199999999999E-2</c:v>
                </c:pt>
                <c:pt idx="17" formatCode="General">
                  <c:v>1.76346E-2</c:v>
                </c:pt>
                <c:pt idx="18" formatCode="General">
                  <c:v>1.76668E-2</c:v>
                </c:pt>
                <c:pt idx="19" formatCode="General">
                  <c:v>1.92318E-2</c:v>
                </c:pt>
                <c:pt idx="20" formatCode="General">
                  <c:v>1.9226099999999999E-2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83-4C22-8FB5-8110506D696A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Sheet1!$CF$2:$CF$22</c:f>
              <c:numCache>
                <c:formatCode>General</c:formatCode>
                <c:ptCount val="21"/>
                <c:pt idx="0">
                  <c:v>2.0978000000000004E-4</c:v>
                </c:pt>
                <c:pt idx="1">
                  <c:v>1.0489000000000002E-3</c:v>
                </c:pt>
                <c:pt idx="2">
                  <c:v>2.0978000000000004E-3</c:v>
                </c:pt>
                <c:pt idx="3">
                  <c:v>3.1467000000000005E-3</c:v>
                </c:pt>
                <c:pt idx="4">
                  <c:v>4.1956000000000007E-3</c:v>
                </c:pt>
                <c:pt idx="5">
                  <c:v>5.2445E-3</c:v>
                </c:pt>
                <c:pt idx="6">
                  <c:v>6.2933999999999993E-3</c:v>
                </c:pt>
                <c:pt idx="7">
                  <c:v>7.3422999999999995E-3</c:v>
                </c:pt>
                <c:pt idx="8">
                  <c:v>8.3911999999999997E-3</c:v>
                </c:pt>
                <c:pt idx="9">
                  <c:v>9.4400999999999999E-3</c:v>
                </c:pt>
                <c:pt idx="10">
                  <c:v>1.0489E-2</c:v>
                </c:pt>
                <c:pt idx="11">
                  <c:v>1.15379E-2</c:v>
                </c:pt>
                <c:pt idx="12">
                  <c:v>1.25868E-2</c:v>
                </c:pt>
                <c:pt idx="13">
                  <c:v>1.3635700000000001E-2</c:v>
                </c:pt>
                <c:pt idx="14">
                  <c:v>1.4684600000000001E-2</c:v>
                </c:pt>
                <c:pt idx="15">
                  <c:v>1.5733500000000001E-2</c:v>
                </c:pt>
                <c:pt idx="16">
                  <c:v>1.6782400000000003E-2</c:v>
                </c:pt>
                <c:pt idx="17">
                  <c:v>1.7831300000000005E-2</c:v>
                </c:pt>
                <c:pt idx="18">
                  <c:v>1.8880200000000007E-2</c:v>
                </c:pt>
                <c:pt idx="19">
                  <c:v>1.9929100000000005E-2</c:v>
                </c:pt>
                <c:pt idx="20">
                  <c:v>2.0978000000000004E-2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83-4C22-8FB5-8110506D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003999"/>
        <c:axId val="1840001599"/>
      </c:scatterChart>
      <c:valAx>
        <c:axId val="184000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001599"/>
        <c:crosses val="autoZero"/>
        <c:crossBetween val="midCat"/>
      </c:valAx>
      <c:valAx>
        <c:axId val="18400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00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空间优化  </a:t>
            </a:r>
            <a:r>
              <a:rPr lang="en-US" altLang="zh-CN"/>
              <a:t>1-100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Sheet1!$CI$2:$CI$22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2.0158300000000001E-3</c:v>
                </c:pt>
                <c:pt idx="2">
                  <c:v>2.97737E-3</c:v>
                </c:pt>
                <c:pt idx="3">
                  <c:v>3.8857499999999999E-3</c:v>
                </c:pt>
                <c:pt idx="4">
                  <c:v>4.8618300000000001E-3</c:v>
                </c:pt>
                <c:pt idx="5">
                  <c:v>5.5818600000000001E-3</c:v>
                </c:pt>
                <c:pt idx="6">
                  <c:v>6.5202699999999999E-3</c:v>
                </c:pt>
                <c:pt idx="7">
                  <c:v>7.4441400000000001E-3</c:v>
                </c:pt>
                <c:pt idx="8" formatCode="General">
                  <c:v>8.5294199999999994E-3</c:v>
                </c:pt>
                <c:pt idx="9" formatCode="General">
                  <c:v>9.2263199999999997E-3</c:v>
                </c:pt>
                <c:pt idx="10" formatCode="General">
                  <c:v>1.02804E-2</c:v>
                </c:pt>
                <c:pt idx="11" formatCode="General">
                  <c:v>1.5152499999999999E-2</c:v>
                </c:pt>
                <c:pt idx="12" formatCode="General">
                  <c:v>1.17903E-2</c:v>
                </c:pt>
                <c:pt idx="13" formatCode="General">
                  <c:v>1.29757E-2</c:v>
                </c:pt>
                <c:pt idx="14" formatCode="General">
                  <c:v>1.3676600000000001E-2</c:v>
                </c:pt>
                <c:pt idx="15" formatCode="General">
                  <c:v>1.46818E-2</c:v>
                </c:pt>
                <c:pt idx="16" formatCode="General">
                  <c:v>1.5358200000000001E-2</c:v>
                </c:pt>
                <c:pt idx="17" formatCode="General">
                  <c:v>1.6184799999999999E-2</c:v>
                </c:pt>
                <c:pt idx="18" formatCode="General">
                  <c:v>1.7223800000000001E-2</c:v>
                </c:pt>
                <c:pt idx="19" formatCode="General">
                  <c:v>1.7951499999999999E-2</c:v>
                </c:pt>
                <c:pt idx="20" formatCode="General">
                  <c:v>1.91033E-2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AA-442A-97E9-F5694DC14C5D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Sheet1!$CH$2:$CH$22</c:f>
              <c:numCache>
                <c:formatCode>General</c:formatCode>
                <c:ptCount val="21"/>
                <c:pt idx="0">
                  <c:v>2.0560799999999997E-4</c:v>
                </c:pt>
                <c:pt idx="1">
                  <c:v>1.0280399999999998E-3</c:v>
                </c:pt>
                <c:pt idx="2">
                  <c:v>2.0560799999999996E-3</c:v>
                </c:pt>
                <c:pt idx="3">
                  <c:v>3.0841199999999997E-3</c:v>
                </c:pt>
                <c:pt idx="4">
                  <c:v>4.1121599999999993E-3</c:v>
                </c:pt>
                <c:pt idx="5">
                  <c:v>5.1401999999999993E-3</c:v>
                </c:pt>
                <c:pt idx="6">
                  <c:v>6.1682399999999993E-3</c:v>
                </c:pt>
                <c:pt idx="7">
                  <c:v>7.1962799999999993E-3</c:v>
                </c:pt>
                <c:pt idx="8">
                  <c:v>8.2243199999999985E-3</c:v>
                </c:pt>
                <c:pt idx="9">
                  <c:v>9.2523599999999994E-3</c:v>
                </c:pt>
                <c:pt idx="10">
                  <c:v>1.02804E-2</c:v>
                </c:pt>
                <c:pt idx="11">
                  <c:v>1.1308439999999999E-2</c:v>
                </c:pt>
                <c:pt idx="12">
                  <c:v>1.233648E-2</c:v>
                </c:pt>
                <c:pt idx="13">
                  <c:v>1.336452E-2</c:v>
                </c:pt>
                <c:pt idx="14">
                  <c:v>1.439256E-2</c:v>
                </c:pt>
                <c:pt idx="15">
                  <c:v>1.54206E-2</c:v>
                </c:pt>
                <c:pt idx="16">
                  <c:v>1.644864E-2</c:v>
                </c:pt>
                <c:pt idx="17">
                  <c:v>1.7476680000000001E-2</c:v>
                </c:pt>
                <c:pt idx="18">
                  <c:v>1.8504720000000002E-2</c:v>
                </c:pt>
                <c:pt idx="19">
                  <c:v>1.9532760000000003E-2</c:v>
                </c:pt>
                <c:pt idx="20">
                  <c:v>2.0560800000000004E-2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AA-442A-97E9-F5694DC14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10351"/>
        <c:axId val="166811311"/>
      </c:scatterChart>
      <c:valAx>
        <c:axId val="166810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811311"/>
        <c:crosses val="autoZero"/>
        <c:crossBetween val="midCat"/>
      </c:valAx>
      <c:valAx>
        <c:axId val="1668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81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逆向  </a:t>
            </a:r>
            <a:r>
              <a:rPr lang="en-US" altLang="zh-CN"/>
              <a:t>1-100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Sheet1!$CK$2:$CK$22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7.1525600000000001E-7</c:v>
                </c:pt>
                <c:pt idx="2">
                  <c:v>1.1920899999999999E-6</c:v>
                </c:pt>
                <c:pt idx="3">
                  <c:v>1.43051E-6</c:v>
                </c:pt>
                <c:pt idx="4">
                  <c:v>1.1920899999999999E-6</c:v>
                </c:pt>
                <c:pt idx="5">
                  <c:v>1.66893E-6</c:v>
                </c:pt>
                <c:pt idx="6">
                  <c:v>1.66893E-6</c:v>
                </c:pt>
                <c:pt idx="7">
                  <c:v>1.90735E-6</c:v>
                </c:pt>
                <c:pt idx="8">
                  <c:v>2.3841900000000001E-6</c:v>
                </c:pt>
                <c:pt idx="9">
                  <c:v>2.8610199999999999E-6</c:v>
                </c:pt>
                <c:pt idx="10">
                  <c:v>3.0994400000000002E-6</c:v>
                </c:pt>
                <c:pt idx="11">
                  <c:v>4.5299499999999997E-6</c:v>
                </c:pt>
                <c:pt idx="12">
                  <c:v>3.33786E-6</c:v>
                </c:pt>
                <c:pt idx="13">
                  <c:v>4.0531199999999999E-6</c:v>
                </c:pt>
                <c:pt idx="14">
                  <c:v>4.2915299999999999E-6</c:v>
                </c:pt>
                <c:pt idx="15">
                  <c:v>4.2915299999999999E-6</c:v>
                </c:pt>
                <c:pt idx="16">
                  <c:v>4.5299499999999997E-6</c:v>
                </c:pt>
                <c:pt idx="17">
                  <c:v>5.0067900000000002E-6</c:v>
                </c:pt>
                <c:pt idx="18">
                  <c:v>5.24521E-6</c:v>
                </c:pt>
                <c:pt idx="19">
                  <c:v>7.3909800000000003E-6</c:v>
                </c:pt>
                <c:pt idx="20">
                  <c:v>5.7220499999999997E-6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2F-4FF2-9C16-5916E2DFD3AC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Sheet1!$CJ$2:$CJ$22</c:f>
              <c:numCache>
                <c:formatCode>General</c:formatCode>
                <c:ptCount val="21"/>
                <c:pt idx="0">
                  <c:v>6.1988800000000002E-8</c:v>
                </c:pt>
                <c:pt idx="1">
                  <c:v>3.0994400000000004E-7</c:v>
                </c:pt>
                <c:pt idx="2">
                  <c:v>6.1988800000000008E-7</c:v>
                </c:pt>
                <c:pt idx="3">
                  <c:v>9.2983200000000001E-7</c:v>
                </c:pt>
                <c:pt idx="4">
                  <c:v>1.2397760000000002E-6</c:v>
                </c:pt>
                <c:pt idx="5">
                  <c:v>1.5497200000000001E-6</c:v>
                </c:pt>
                <c:pt idx="6">
                  <c:v>1.859664E-6</c:v>
                </c:pt>
                <c:pt idx="7">
                  <c:v>2.1696080000000002E-6</c:v>
                </c:pt>
                <c:pt idx="8">
                  <c:v>2.4795520000000003E-6</c:v>
                </c:pt>
                <c:pt idx="9">
                  <c:v>2.789496E-6</c:v>
                </c:pt>
                <c:pt idx="10">
                  <c:v>3.0994400000000002E-6</c:v>
                </c:pt>
                <c:pt idx="11">
                  <c:v>3.4093840000000003E-6</c:v>
                </c:pt>
                <c:pt idx="12">
                  <c:v>3.719328E-6</c:v>
                </c:pt>
                <c:pt idx="13">
                  <c:v>4.0292719999999998E-6</c:v>
                </c:pt>
                <c:pt idx="14">
                  <c:v>4.3392160000000003E-6</c:v>
                </c:pt>
                <c:pt idx="15">
                  <c:v>4.6491600000000001E-6</c:v>
                </c:pt>
                <c:pt idx="16">
                  <c:v>4.9591040000000006E-6</c:v>
                </c:pt>
                <c:pt idx="17">
                  <c:v>5.2690480000000003E-6</c:v>
                </c:pt>
                <c:pt idx="18">
                  <c:v>5.5789920000000001E-6</c:v>
                </c:pt>
                <c:pt idx="19">
                  <c:v>5.8889360000000006E-6</c:v>
                </c:pt>
                <c:pt idx="20">
                  <c:v>6.1988800000000004E-6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2F-4FF2-9C16-5916E2DFD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52975"/>
        <c:axId val="1412780575"/>
      </c:scatterChart>
      <c:valAx>
        <c:axId val="3405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2780575"/>
        <c:crosses val="autoZero"/>
        <c:crossBetween val="midCat"/>
      </c:valAx>
      <c:valAx>
        <c:axId val="14127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05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定</a:t>
            </a:r>
            <a:r>
              <a:rPr lang="en-US" altLang="zh-CN"/>
              <a:t>f</a:t>
            </a:r>
            <a:r>
              <a:rPr lang="zh-CN" altLang="en-US"/>
              <a:t>变</a:t>
            </a:r>
            <a:r>
              <a:rPr lang="en-US" altLang="zh-CN"/>
              <a:t>e  f=10000</a:t>
            </a:r>
            <a:r>
              <a:rPr lang="zh-CN" altLang="en-US"/>
              <a:t>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朴素dp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Sheet1!$CE$2:$CE$22</c:f>
              <c:numCache>
                <c:formatCode>General</c:formatCode>
                <c:ptCount val="21"/>
                <c:pt idx="0" formatCode="0.00E+00">
                  <c:v>2.3841900000000001E-7</c:v>
                </c:pt>
                <c:pt idx="1">
                  <c:v>0.86990599999999996</c:v>
                </c:pt>
                <c:pt idx="2">
                  <c:v>1.9602900000000001</c:v>
                </c:pt>
                <c:pt idx="3">
                  <c:v>3.0309599999999999</c:v>
                </c:pt>
                <c:pt idx="4">
                  <c:v>4.1985799999999998</c:v>
                </c:pt>
                <c:pt idx="5">
                  <c:v>5.2858799999999997</c:v>
                </c:pt>
                <c:pt idx="6">
                  <c:v>6.3430299999999997</c:v>
                </c:pt>
                <c:pt idx="7">
                  <c:v>7.5034599999999996</c:v>
                </c:pt>
                <c:pt idx="8">
                  <c:v>8.6380400000000002</c:v>
                </c:pt>
                <c:pt idx="9">
                  <c:v>9.7784300000000002</c:v>
                </c:pt>
                <c:pt idx="10">
                  <c:v>10.690799999999999</c:v>
                </c:pt>
                <c:pt idx="11">
                  <c:v>12.0723</c:v>
                </c:pt>
                <c:pt idx="12">
                  <c:v>13.026400000000001</c:v>
                </c:pt>
                <c:pt idx="13">
                  <c:v>14.1075</c:v>
                </c:pt>
                <c:pt idx="14">
                  <c:v>14.959</c:v>
                </c:pt>
                <c:pt idx="15">
                  <c:v>16.347999999999999</c:v>
                </c:pt>
                <c:pt idx="16">
                  <c:v>17.359300000000001</c:v>
                </c:pt>
                <c:pt idx="17">
                  <c:v>18.614100000000001</c:v>
                </c:pt>
                <c:pt idx="18">
                  <c:v>19.661300000000001</c:v>
                </c:pt>
                <c:pt idx="19">
                  <c:v>20.843299999999999</c:v>
                </c:pt>
                <c:pt idx="20">
                  <c:v>22.077100000000002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D-4614-A7B3-3A2D85951BE4}"/>
            </c:ext>
          </c:extLst>
        </c:ser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Sheet1!$CG$2:$CG$22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1.9779200000000002E-3</c:v>
                </c:pt>
                <c:pt idx="2">
                  <c:v>3.11875E-3</c:v>
                </c:pt>
                <c:pt idx="3">
                  <c:v>3.9377199999999996E-3</c:v>
                </c:pt>
                <c:pt idx="4">
                  <c:v>4.8522900000000004E-3</c:v>
                </c:pt>
                <c:pt idx="5">
                  <c:v>5.76138E-3</c:v>
                </c:pt>
                <c:pt idx="6">
                  <c:v>6.6842999999999998E-3</c:v>
                </c:pt>
                <c:pt idx="7">
                  <c:v>7.54523E-3</c:v>
                </c:pt>
                <c:pt idx="8">
                  <c:v>8.4707700000000007E-3</c:v>
                </c:pt>
                <c:pt idx="9" formatCode="General">
                  <c:v>9.4711799999999992E-3</c:v>
                </c:pt>
                <c:pt idx="10" formatCode="General">
                  <c:v>1.0489E-2</c:v>
                </c:pt>
                <c:pt idx="11" formatCode="General">
                  <c:v>1.58739E-2</c:v>
                </c:pt>
                <c:pt idx="12" formatCode="General">
                  <c:v>1.2085E-2</c:v>
                </c:pt>
                <c:pt idx="13" formatCode="General">
                  <c:v>1.38917E-2</c:v>
                </c:pt>
                <c:pt idx="14" formatCode="General">
                  <c:v>1.39968E-2</c:v>
                </c:pt>
                <c:pt idx="15" formatCode="General">
                  <c:v>1.48191E-2</c:v>
                </c:pt>
                <c:pt idx="16" formatCode="General">
                  <c:v>1.5646199999999999E-2</c:v>
                </c:pt>
                <c:pt idx="17" formatCode="General">
                  <c:v>1.76346E-2</c:v>
                </c:pt>
                <c:pt idx="18" formatCode="General">
                  <c:v>1.76668E-2</c:v>
                </c:pt>
                <c:pt idx="19" formatCode="General">
                  <c:v>1.92318E-2</c:v>
                </c:pt>
                <c:pt idx="20" formatCode="General">
                  <c:v>1.9226099999999999E-2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AD-4614-A7B3-3A2D85951BE4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Sheet1!$CI$2:$CI$22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2.0158300000000001E-3</c:v>
                </c:pt>
                <c:pt idx="2">
                  <c:v>2.97737E-3</c:v>
                </c:pt>
                <c:pt idx="3">
                  <c:v>3.8857499999999999E-3</c:v>
                </c:pt>
                <c:pt idx="4">
                  <c:v>4.8618300000000001E-3</c:v>
                </c:pt>
                <c:pt idx="5">
                  <c:v>5.5818600000000001E-3</c:v>
                </c:pt>
                <c:pt idx="6">
                  <c:v>6.5202699999999999E-3</c:v>
                </c:pt>
                <c:pt idx="7">
                  <c:v>7.4441400000000001E-3</c:v>
                </c:pt>
                <c:pt idx="8" formatCode="General">
                  <c:v>8.5294199999999994E-3</c:v>
                </c:pt>
                <c:pt idx="9" formatCode="General">
                  <c:v>9.2263199999999997E-3</c:v>
                </c:pt>
                <c:pt idx="10" formatCode="General">
                  <c:v>1.02804E-2</c:v>
                </c:pt>
                <c:pt idx="11" formatCode="General">
                  <c:v>1.5152499999999999E-2</c:v>
                </c:pt>
                <c:pt idx="12" formatCode="General">
                  <c:v>1.17903E-2</c:v>
                </c:pt>
                <c:pt idx="13" formatCode="General">
                  <c:v>1.29757E-2</c:v>
                </c:pt>
                <c:pt idx="14" formatCode="General">
                  <c:v>1.3676600000000001E-2</c:v>
                </c:pt>
                <c:pt idx="15" formatCode="General">
                  <c:v>1.46818E-2</c:v>
                </c:pt>
                <c:pt idx="16" formatCode="General">
                  <c:v>1.5358200000000001E-2</c:v>
                </c:pt>
                <c:pt idx="17" formatCode="General">
                  <c:v>1.6184799999999999E-2</c:v>
                </c:pt>
                <c:pt idx="18" formatCode="General">
                  <c:v>1.7223800000000001E-2</c:v>
                </c:pt>
                <c:pt idx="19" formatCode="General">
                  <c:v>1.7951499999999999E-2</c:v>
                </c:pt>
                <c:pt idx="20" formatCode="General">
                  <c:v>1.91033E-2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AD-4614-A7B3-3A2D85951BE4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Sheet1!$CK$2:$CK$22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7.1525600000000001E-7</c:v>
                </c:pt>
                <c:pt idx="2">
                  <c:v>1.1920899999999999E-6</c:v>
                </c:pt>
                <c:pt idx="3">
                  <c:v>1.43051E-6</c:v>
                </c:pt>
                <c:pt idx="4">
                  <c:v>1.1920899999999999E-6</c:v>
                </c:pt>
                <c:pt idx="5">
                  <c:v>1.66893E-6</c:v>
                </c:pt>
                <c:pt idx="6">
                  <c:v>1.66893E-6</c:v>
                </c:pt>
                <c:pt idx="7">
                  <c:v>1.90735E-6</c:v>
                </c:pt>
                <c:pt idx="8">
                  <c:v>2.3841900000000001E-6</c:v>
                </c:pt>
                <c:pt idx="9">
                  <c:v>2.8610199999999999E-6</c:v>
                </c:pt>
                <c:pt idx="10">
                  <c:v>3.0994400000000002E-6</c:v>
                </c:pt>
                <c:pt idx="11">
                  <c:v>4.5299499999999997E-6</c:v>
                </c:pt>
                <c:pt idx="12">
                  <c:v>3.33786E-6</c:v>
                </c:pt>
                <c:pt idx="13">
                  <c:v>4.0531199999999999E-6</c:v>
                </c:pt>
                <c:pt idx="14">
                  <c:v>4.2915299999999999E-6</c:v>
                </c:pt>
                <c:pt idx="15">
                  <c:v>4.2915299999999999E-6</c:v>
                </c:pt>
                <c:pt idx="16">
                  <c:v>4.5299499999999997E-6</c:v>
                </c:pt>
                <c:pt idx="17">
                  <c:v>5.0067900000000002E-6</c:v>
                </c:pt>
                <c:pt idx="18">
                  <c:v>5.24521E-6</c:v>
                </c:pt>
                <c:pt idx="19">
                  <c:v>7.3909800000000003E-6</c:v>
                </c:pt>
                <c:pt idx="20">
                  <c:v>5.7220499999999997E-6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AD-4614-A7B3-3A2D85951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1487"/>
        <c:axId val="171055967"/>
      </c:scatterChart>
      <c:valAx>
        <c:axId val="1710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55967"/>
        <c:crosses val="autoZero"/>
        <c:crossBetween val="midCat"/>
      </c:valAx>
      <c:valAx>
        <c:axId val="1710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3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定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变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  f=10000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Sheet1!$CG$2:$CG$22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1.9779200000000002E-3</c:v>
                </c:pt>
                <c:pt idx="2">
                  <c:v>3.11875E-3</c:v>
                </c:pt>
                <c:pt idx="3">
                  <c:v>3.9377199999999996E-3</c:v>
                </c:pt>
                <c:pt idx="4">
                  <c:v>4.8522900000000004E-3</c:v>
                </c:pt>
                <c:pt idx="5">
                  <c:v>5.76138E-3</c:v>
                </c:pt>
                <c:pt idx="6">
                  <c:v>6.6842999999999998E-3</c:v>
                </c:pt>
                <c:pt idx="7">
                  <c:v>7.54523E-3</c:v>
                </c:pt>
                <c:pt idx="8">
                  <c:v>8.4707700000000007E-3</c:v>
                </c:pt>
                <c:pt idx="9" formatCode="General">
                  <c:v>9.4711799999999992E-3</c:v>
                </c:pt>
                <c:pt idx="10" formatCode="General">
                  <c:v>1.0489E-2</c:v>
                </c:pt>
                <c:pt idx="11" formatCode="General">
                  <c:v>1.58739E-2</c:v>
                </c:pt>
                <c:pt idx="12" formatCode="General">
                  <c:v>1.2085E-2</c:v>
                </c:pt>
                <c:pt idx="13" formatCode="General">
                  <c:v>1.38917E-2</c:v>
                </c:pt>
                <c:pt idx="14" formatCode="General">
                  <c:v>1.39968E-2</c:v>
                </c:pt>
                <c:pt idx="15" formatCode="General">
                  <c:v>1.48191E-2</c:v>
                </c:pt>
                <c:pt idx="16" formatCode="General">
                  <c:v>1.5646199999999999E-2</c:v>
                </c:pt>
                <c:pt idx="17" formatCode="General">
                  <c:v>1.76346E-2</c:v>
                </c:pt>
                <c:pt idx="18" formatCode="General">
                  <c:v>1.76668E-2</c:v>
                </c:pt>
                <c:pt idx="19" formatCode="General">
                  <c:v>1.92318E-2</c:v>
                </c:pt>
                <c:pt idx="20" formatCode="General">
                  <c:v>1.9226099999999999E-2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7D-46AC-94A9-BC304C1E086C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Sheet1!$CI$2:$CI$22</c:f>
              <c:numCache>
                <c:formatCode>0.00E+00</c:formatCode>
                <c:ptCount val="21"/>
                <c:pt idx="0" formatCode="General">
                  <c:v>0</c:v>
                </c:pt>
                <c:pt idx="1">
                  <c:v>2.0158300000000001E-3</c:v>
                </c:pt>
                <c:pt idx="2">
                  <c:v>2.97737E-3</c:v>
                </c:pt>
                <c:pt idx="3">
                  <c:v>3.8857499999999999E-3</c:v>
                </c:pt>
                <c:pt idx="4">
                  <c:v>4.8618300000000001E-3</c:v>
                </c:pt>
                <c:pt idx="5">
                  <c:v>5.5818600000000001E-3</c:v>
                </c:pt>
                <c:pt idx="6">
                  <c:v>6.5202699999999999E-3</c:v>
                </c:pt>
                <c:pt idx="7">
                  <c:v>7.4441400000000001E-3</c:v>
                </c:pt>
                <c:pt idx="8" formatCode="General">
                  <c:v>8.5294199999999994E-3</c:v>
                </c:pt>
                <c:pt idx="9" formatCode="General">
                  <c:v>9.2263199999999997E-3</c:v>
                </c:pt>
                <c:pt idx="10" formatCode="General">
                  <c:v>1.02804E-2</c:v>
                </c:pt>
                <c:pt idx="11" formatCode="General">
                  <c:v>1.5152499999999999E-2</c:v>
                </c:pt>
                <c:pt idx="12" formatCode="General">
                  <c:v>1.17903E-2</c:v>
                </c:pt>
                <c:pt idx="13" formatCode="General">
                  <c:v>1.29757E-2</c:v>
                </c:pt>
                <c:pt idx="14" formatCode="General">
                  <c:v>1.3676600000000001E-2</c:v>
                </c:pt>
                <c:pt idx="15" formatCode="General">
                  <c:v>1.46818E-2</c:v>
                </c:pt>
                <c:pt idx="16" formatCode="General">
                  <c:v>1.5358200000000001E-2</c:v>
                </c:pt>
                <c:pt idx="17" formatCode="General">
                  <c:v>1.6184799999999999E-2</c:v>
                </c:pt>
                <c:pt idx="18" formatCode="General">
                  <c:v>1.7223800000000001E-2</c:v>
                </c:pt>
                <c:pt idx="19" formatCode="General">
                  <c:v>1.7951499999999999E-2</c:v>
                </c:pt>
                <c:pt idx="20" formatCode="General">
                  <c:v>1.91033E-2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7D-46AC-94A9-BC304C1E086C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Sheet1!$CB$2:$CB$22</c:f>
              <c:numCache>
                <c:formatCode>General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Sheet1!$CK$2:$CK$22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7.1525600000000001E-7</c:v>
                </c:pt>
                <c:pt idx="2">
                  <c:v>1.1920899999999999E-6</c:v>
                </c:pt>
                <c:pt idx="3">
                  <c:v>1.43051E-6</c:v>
                </c:pt>
                <c:pt idx="4">
                  <c:v>1.1920899999999999E-6</c:v>
                </c:pt>
                <c:pt idx="5">
                  <c:v>1.66893E-6</c:v>
                </c:pt>
                <c:pt idx="6">
                  <c:v>1.66893E-6</c:v>
                </c:pt>
                <c:pt idx="7">
                  <c:v>1.90735E-6</c:v>
                </c:pt>
                <c:pt idx="8">
                  <c:v>2.3841900000000001E-6</c:v>
                </c:pt>
                <c:pt idx="9">
                  <c:v>2.8610199999999999E-6</c:v>
                </c:pt>
                <c:pt idx="10">
                  <c:v>3.0994400000000002E-6</c:v>
                </c:pt>
                <c:pt idx="11">
                  <c:v>4.5299499999999997E-6</c:v>
                </c:pt>
                <c:pt idx="12">
                  <c:v>3.33786E-6</c:v>
                </c:pt>
                <c:pt idx="13">
                  <c:v>4.0531199999999999E-6</c:v>
                </c:pt>
                <c:pt idx="14">
                  <c:v>4.2915299999999999E-6</c:v>
                </c:pt>
                <c:pt idx="15">
                  <c:v>4.2915299999999999E-6</c:v>
                </c:pt>
                <c:pt idx="16">
                  <c:v>4.5299499999999997E-6</c:v>
                </c:pt>
                <c:pt idx="17">
                  <c:v>5.0067900000000002E-6</c:v>
                </c:pt>
                <c:pt idx="18">
                  <c:v>5.24521E-6</c:v>
                </c:pt>
                <c:pt idx="19">
                  <c:v>7.3909800000000003E-6</c:v>
                </c:pt>
                <c:pt idx="20">
                  <c:v>5.7220499999999997E-6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7D-46AC-94A9-BC304C1E0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1487"/>
        <c:axId val="1710559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朴素dp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Sheet1!$CB$2:$CB$22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  <c:pt idx="19">
                        <c:v>95</c:v>
                      </c:pt>
                      <c:pt idx="20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Sheet1!$CE$2:$CE$22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 formatCode="0.00E+00">
                        <c:v>2.3841900000000001E-7</c:v>
                      </c:pt>
                      <c:pt idx="1">
                        <c:v>0.86990599999999996</c:v>
                      </c:pt>
                      <c:pt idx="2">
                        <c:v>1.9602900000000001</c:v>
                      </c:pt>
                      <c:pt idx="3">
                        <c:v>3.0309599999999999</c:v>
                      </c:pt>
                      <c:pt idx="4">
                        <c:v>4.1985799999999998</c:v>
                      </c:pt>
                      <c:pt idx="5">
                        <c:v>5.2858799999999997</c:v>
                      </c:pt>
                      <c:pt idx="6">
                        <c:v>6.3430299999999997</c:v>
                      </c:pt>
                      <c:pt idx="7">
                        <c:v>7.5034599999999996</c:v>
                      </c:pt>
                      <c:pt idx="8">
                        <c:v>8.6380400000000002</c:v>
                      </c:pt>
                      <c:pt idx="9">
                        <c:v>9.7784300000000002</c:v>
                      </c:pt>
                      <c:pt idx="10">
                        <c:v>10.690799999999999</c:v>
                      </c:pt>
                      <c:pt idx="11">
                        <c:v>12.0723</c:v>
                      </c:pt>
                      <c:pt idx="12">
                        <c:v>13.026400000000001</c:v>
                      </c:pt>
                      <c:pt idx="13">
                        <c:v>14.1075</c:v>
                      </c:pt>
                      <c:pt idx="14">
                        <c:v>14.959</c:v>
                      </c:pt>
                      <c:pt idx="15">
                        <c:v>16.347999999999999</c:v>
                      </c:pt>
                      <c:pt idx="16">
                        <c:v>17.359300000000001</c:v>
                      </c:pt>
                      <c:pt idx="17">
                        <c:v>18.614100000000001</c:v>
                      </c:pt>
                      <c:pt idx="18">
                        <c:v>19.661300000000001</c:v>
                      </c:pt>
                      <c:pt idx="19">
                        <c:v>20.843299999999999</c:v>
                      </c:pt>
                      <c:pt idx="20">
                        <c:v>22.077100000000002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97D-46AC-94A9-BC304C1E086C}"/>
                  </c:ext>
                </c:extLst>
              </c15:ser>
            </c15:filteredScatterSeries>
          </c:ext>
        </c:extLst>
      </c:scatterChart>
      <c:valAx>
        <c:axId val="1710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55967"/>
        <c:crosses val="autoZero"/>
        <c:crossBetween val="midCat"/>
      </c:valAx>
      <c:valAx>
        <c:axId val="1710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03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定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变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  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小规模对比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dp二分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Sheet1!$AF$2:$AF$22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2.8610199999999999E-5</c:v>
                </c:pt>
                <c:pt idx="2">
                  <c:v>5.0306300000000003E-5</c:v>
                </c:pt>
                <c:pt idx="3">
                  <c:v>6.2227199999999999E-5</c:v>
                </c:pt>
                <c:pt idx="4">
                  <c:v>9.1314299999999994E-5</c:v>
                </c:pt>
                <c:pt idx="5">
                  <c:v>1.2898400000000001E-4</c:v>
                </c:pt>
                <c:pt idx="6">
                  <c:v>1.78099E-4</c:v>
                </c:pt>
                <c:pt idx="7">
                  <c:v>2.3007400000000001E-4</c:v>
                </c:pt>
                <c:pt idx="8">
                  <c:v>1.95503E-4</c:v>
                </c:pt>
                <c:pt idx="9" formatCode="General">
                  <c:v>1.89304E-4</c:v>
                </c:pt>
                <c:pt idx="10" formatCode="General">
                  <c:v>2.1004699999999999E-4</c:v>
                </c:pt>
                <c:pt idx="11" formatCode="General">
                  <c:v>3.3664699999999998E-4</c:v>
                </c:pt>
                <c:pt idx="12" formatCode="General">
                  <c:v>3.6764099999999999E-4</c:v>
                </c:pt>
                <c:pt idx="13" formatCode="General">
                  <c:v>2.7585000000000001E-4</c:v>
                </c:pt>
                <c:pt idx="14" formatCode="General">
                  <c:v>3.9529799999999998E-4</c:v>
                </c:pt>
                <c:pt idx="15" formatCode="General">
                  <c:v>3.2568000000000001E-4</c:v>
                </c:pt>
                <c:pt idx="16" formatCode="General">
                  <c:v>3.4427600000000002E-4</c:v>
                </c:pt>
                <c:pt idx="17" formatCode="General">
                  <c:v>3.6644899999999997E-4</c:v>
                </c:pt>
                <c:pt idx="18" formatCode="General">
                  <c:v>3.8981399999999999E-4</c:v>
                </c:pt>
                <c:pt idx="19" formatCode="General">
                  <c:v>4.1604000000000001E-4</c:v>
                </c:pt>
                <c:pt idx="20" formatCode="General">
                  <c:v>4.2676900000000002E-4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F9-4996-A3DA-FAEA6AFB0B01}"/>
            </c:ext>
          </c:extLst>
        </c:ser>
        <c:ser>
          <c:idx val="2"/>
          <c:order val="2"/>
          <c:tx>
            <c:v>空间优化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Sheet1!$AH$2:$AH$22</c:f>
              <c:numCache>
                <c:formatCode>0.00E+00</c:formatCode>
                <c:ptCount val="21"/>
                <c:pt idx="0">
                  <c:v>2.3841900000000001E-7</c:v>
                </c:pt>
                <c:pt idx="1">
                  <c:v>3.0040699999999999E-5</c:v>
                </c:pt>
                <c:pt idx="2">
                  <c:v>6.7949300000000003E-5</c:v>
                </c:pt>
                <c:pt idx="3">
                  <c:v>6.1512000000000003E-5</c:v>
                </c:pt>
                <c:pt idx="4">
                  <c:v>7.9870200000000007E-5</c:v>
                </c:pt>
                <c:pt idx="5">
                  <c:v>1.25408E-4</c:v>
                </c:pt>
                <c:pt idx="6">
                  <c:v>1.7452200000000001E-4</c:v>
                </c:pt>
                <c:pt idx="7">
                  <c:v>2.10285E-4</c:v>
                </c:pt>
                <c:pt idx="8" formatCode="General">
                  <c:v>1.6546200000000001E-4</c:v>
                </c:pt>
                <c:pt idx="9" formatCode="General">
                  <c:v>1.8501300000000001E-4</c:v>
                </c:pt>
                <c:pt idx="10" formatCode="General">
                  <c:v>2.0623199999999999E-4</c:v>
                </c:pt>
                <c:pt idx="11" formatCode="General">
                  <c:v>3.6859499999999999E-4</c:v>
                </c:pt>
                <c:pt idx="12" formatCode="General">
                  <c:v>3.6931000000000003E-4</c:v>
                </c:pt>
                <c:pt idx="13" formatCode="General">
                  <c:v>2.8753300000000003E-4</c:v>
                </c:pt>
                <c:pt idx="14" formatCode="General">
                  <c:v>3.8528400000000001E-4</c:v>
                </c:pt>
                <c:pt idx="15" formatCode="General">
                  <c:v>3.1566599999999998E-4</c:v>
                </c:pt>
                <c:pt idx="16" formatCode="General">
                  <c:v>3.4427600000000002E-4</c:v>
                </c:pt>
                <c:pt idx="17" formatCode="General">
                  <c:v>3.5667400000000002E-4</c:v>
                </c:pt>
                <c:pt idx="18" formatCode="General">
                  <c:v>3.7598599999999997E-4</c:v>
                </c:pt>
                <c:pt idx="19" formatCode="General">
                  <c:v>4.0149700000000001E-4</c:v>
                </c:pt>
                <c:pt idx="20" formatCode="General">
                  <c:v>4.3296799999999999E-4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F9-4996-A3DA-FAEA6AFB0B01}"/>
            </c:ext>
          </c:extLst>
        </c:ser>
        <c:ser>
          <c:idx val="3"/>
          <c:order val="3"/>
          <c:tx>
            <c:v>逆向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Sheet1!$AB$2:$AB$22</c:f>
              <c:numCache>
                <c:formatCode>General</c:formatCode>
                <c:ptCount val="21"/>
                <c:pt idx="0">
                  <c:v>1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Sheet1!$AJ$2:$AJ$22</c:f>
              <c:numCache>
                <c:formatCode>0.00E+00</c:formatCode>
                <c:ptCount val="21"/>
                <c:pt idx="0">
                  <c:v>0</c:v>
                </c:pt>
                <c:pt idx="1">
                  <c:v>7.1525600000000001E-7</c:v>
                </c:pt>
                <c:pt idx="2">
                  <c:v>7.1525600000000001E-7</c:v>
                </c:pt>
                <c:pt idx="3">
                  <c:v>7.1525600000000001E-7</c:v>
                </c:pt>
                <c:pt idx="4">
                  <c:v>4.76837E-7</c:v>
                </c:pt>
                <c:pt idx="5">
                  <c:v>7.1525600000000001E-7</c:v>
                </c:pt>
                <c:pt idx="6">
                  <c:v>1.1920899999999999E-6</c:v>
                </c:pt>
                <c:pt idx="7">
                  <c:v>1.43051E-6</c:v>
                </c:pt>
                <c:pt idx="8">
                  <c:v>9.5367399999999999E-7</c:v>
                </c:pt>
                <c:pt idx="9">
                  <c:v>7.1525600000000001E-7</c:v>
                </c:pt>
                <c:pt idx="10">
                  <c:v>7.1525600000000001E-7</c:v>
                </c:pt>
                <c:pt idx="11">
                  <c:v>1.1920899999999999E-6</c:v>
                </c:pt>
                <c:pt idx="12">
                  <c:v>1.90735E-6</c:v>
                </c:pt>
                <c:pt idx="13">
                  <c:v>9.5367399999999999E-7</c:v>
                </c:pt>
                <c:pt idx="14">
                  <c:v>9.5367399999999999E-7</c:v>
                </c:pt>
                <c:pt idx="15">
                  <c:v>9.5367399999999999E-7</c:v>
                </c:pt>
                <c:pt idx="16">
                  <c:v>9.5367399999999999E-7</c:v>
                </c:pt>
                <c:pt idx="17">
                  <c:v>9.5367399999999999E-7</c:v>
                </c:pt>
                <c:pt idx="18">
                  <c:v>9.5367399999999999E-7</c:v>
                </c:pt>
                <c:pt idx="19">
                  <c:v>7.1525600000000001E-7</c:v>
                </c:pt>
                <c:pt idx="20">
                  <c:v>9.5367399999999999E-7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F9-4996-A3DA-FAEA6AFB0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56847"/>
        <c:axId val="1914264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朴素dp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Sheet1!$AB$2:$AB$22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150</c:v>
                      </c:pt>
                      <c:pt idx="4">
                        <c:v>200</c:v>
                      </c:pt>
                      <c:pt idx="5">
                        <c:v>250</c:v>
                      </c:pt>
                      <c:pt idx="6">
                        <c:v>300</c:v>
                      </c:pt>
                      <c:pt idx="7">
                        <c:v>350</c:v>
                      </c:pt>
                      <c:pt idx="8">
                        <c:v>400</c:v>
                      </c:pt>
                      <c:pt idx="9">
                        <c:v>450</c:v>
                      </c:pt>
                      <c:pt idx="10">
                        <c:v>500</c:v>
                      </c:pt>
                      <c:pt idx="11">
                        <c:v>550</c:v>
                      </c:pt>
                      <c:pt idx="12">
                        <c:v>600</c:v>
                      </c:pt>
                      <c:pt idx="13">
                        <c:v>650</c:v>
                      </c:pt>
                      <c:pt idx="14">
                        <c:v>700</c:v>
                      </c:pt>
                      <c:pt idx="15">
                        <c:v>750</c:v>
                      </c:pt>
                      <c:pt idx="16">
                        <c:v>800</c:v>
                      </c:pt>
                      <c:pt idx="17">
                        <c:v>850</c:v>
                      </c:pt>
                      <c:pt idx="18">
                        <c:v>900</c:v>
                      </c:pt>
                      <c:pt idx="19">
                        <c:v>950</c:v>
                      </c:pt>
                      <c:pt idx="20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Sheet1!$AD$2:$AD$22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</c:v>
                      </c:pt>
                      <c:pt idx="1">
                        <c:v>1.5783299999999999E-4</c:v>
                      </c:pt>
                      <c:pt idx="2">
                        <c:v>5.1665299999999995E-4</c:v>
                      </c:pt>
                      <c:pt idx="3">
                        <c:v>1.0127999999999999E-3</c:v>
                      </c:pt>
                      <c:pt idx="4">
                        <c:v>1.6770400000000001E-3</c:v>
                      </c:pt>
                      <c:pt idx="5">
                        <c:v>2.9881E-3</c:v>
                      </c:pt>
                      <c:pt idx="6">
                        <c:v>4.8508600000000002E-3</c:v>
                      </c:pt>
                      <c:pt idx="7">
                        <c:v>7.1327700000000001E-3</c:v>
                      </c:pt>
                      <c:pt idx="8">
                        <c:v>7.9574599999999995E-3</c:v>
                      </c:pt>
                      <c:pt idx="9">
                        <c:v>9.4432800000000001E-3</c:v>
                      </c:pt>
                      <c:pt idx="10">
                        <c:v>1.0278199999999999E-2</c:v>
                      </c:pt>
                      <c:pt idx="11">
                        <c:v>1.2711500000000001E-2</c:v>
                      </c:pt>
                      <c:pt idx="12">
                        <c:v>1.7914099999999999E-2</c:v>
                      </c:pt>
                      <c:pt idx="13">
                        <c:v>2.1499899999999999E-2</c:v>
                      </c:pt>
                      <c:pt idx="14">
                        <c:v>2.03331E-2</c:v>
                      </c:pt>
                      <c:pt idx="15">
                        <c:v>2.43669E-2</c:v>
                      </c:pt>
                      <c:pt idx="16">
                        <c:v>2.6060799999999999E-2</c:v>
                      </c:pt>
                      <c:pt idx="17">
                        <c:v>2.92251E-2</c:v>
                      </c:pt>
                      <c:pt idx="18">
                        <c:v>3.4120999999999999E-2</c:v>
                      </c:pt>
                      <c:pt idx="19">
                        <c:v>3.7115099999999998E-2</c:v>
                      </c:pt>
                      <c:pt idx="20">
                        <c:v>4.0551900000000002E-2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3F9-4996-A3DA-FAEA6AFB0B01}"/>
                  </c:ext>
                </c:extLst>
              </c15:ser>
            </c15:filteredScatterSeries>
          </c:ext>
        </c:extLst>
      </c:scatterChart>
      <c:valAx>
        <c:axId val="191425684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64527"/>
        <c:crosses val="autoZero"/>
        <c:crossBetween val="midCat"/>
      </c:valAx>
      <c:valAx>
        <c:axId val="191426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425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蛮力  </a:t>
            </a:r>
            <a:r>
              <a:rPr lang="en-US" altLang="zh-CN"/>
              <a:t>e=3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Sheet1!$DC$2:$DC$31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Sheet1!$DE$2:$DE$31</c:f>
              <c:numCache>
                <c:formatCode>0.00E+00</c:formatCode>
                <c:ptCount val="30"/>
                <c:pt idx="0">
                  <c:v>7.1525600000000001E-7</c:v>
                </c:pt>
                <c:pt idx="1">
                  <c:v>2.3841900000000001E-7</c:v>
                </c:pt>
                <c:pt idx="2">
                  <c:v>2.3841900000000001E-7</c:v>
                </c:pt>
                <c:pt idx="3">
                  <c:v>4.76837E-7</c:v>
                </c:pt>
                <c:pt idx="4">
                  <c:v>1.1920899999999999E-6</c:v>
                </c:pt>
                <c:pt idx="5">
                  <c:v>1.43051E-6</c:v>
                </c:pt>
                <c:pt idx="6">
                  <c:v>3.33786E-6</c:v>
                </c:pt>
                <c:pt idx="7">
                  <c:v>7.8678100000000001E-6</c:v>
                </c:pt>
                <c:pt idx="8">
                  <c:v>1.6212500000000001E-5</c:v>
                </c:pt>
                <c:pt idx="9">
                  <c:v>3.67165E-5</c:v>
                </c:pt>
                <c:pt idx="10">
                  <c:v>8.0585499999999996E-5</c:v>
                </c:pt>
                <c:pt idx="11" formatCode="General">
                  <c:v>1.92881E-4</c:v>
                </c:pt>
                <c:pt idx="12" formatCode="General">
                  <c:v>3.8075400000000002E-4</c:v>
                </c:pt>
                <c:pt idx="13" formatCode="General">
                  <c:v>8.2802799999999997E-4</c:v>
                </c:pt>
                <c:pt idx="14" formatCode="General">
                  <c:v>1.7702600000000001E-3</c:v>
                </c:pt>
                <c:pt idx="15" formatCode="General">
                  <c:v>4.3353999999999997E-3</c:v>
                </c:pt>
                <c:pt idx="16" formatCode="General">
                  <c:v>8.3296299999999993E-3</c:v>
                </c:pt>
                <c:pt idx="17" formatCode="General">
                  <c:v>1.73473E-2</c:v>
                </c:pt>
                <c:pt idx="18" formatCode="General">
                  <c:v>4.0972000000000001E-2</c:v>
                </c:pt>
                <c:pt idx="19" formatCode="General">
                  <c:v>7.5616799999999998E-2</c:v>
                </c:pt>
                <c:pt idx="20" formatCode="General">
                  <c:v>0.16297900000000001</c:v>
                </c:pt>
                <c:pt idx="21" formatCode="General">
                  <c:v>0.33564899999999998</c:v>
                </c:pt>
                <c:pt idx="22" formatCode="General">
                  <c:v>0.71629799999999999</c:v>
                </c:pt>
                <c:pt idx="23" formatCode="General">
                  <c:v>1.4881899999999999</c:v>
                </c:pt>
                <c:pt idx="24" formatCode="General">
                  <c:v>3.09537</c:v>
                </c:pt>
                <c:pt idx="25" formatCode="General">
                  <c:v>6.4305700000000003</c:v>
                </c:pt>
                <c:pt idx="26" formatCode="General">
                  <c:v>13.4556</c:v>
                </c:pt>
                <c:pt idx="27" formatCode="General">
                  <c:v>28.1648</c:v>
                </c:pt>
                <c:pt idx="28" formatCode="General">
                  <c:v>59.018900000000002</c:v>
                </c:pt>
                <c:pt idx="29" formatCode="General">
                  <c:v>120.755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2D-4416-8659-32038A781F37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Sheet1!$DC$2:$DC$31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Sheet1!$DD$2:$DD$31</c:f>
              <c:numCache>
                <c:formatCode>0.00E+00</c:formatCode>
                <c:ptCount val="30"/>
                <c:pt idx="0">
                  <c:v>1.4422760009765625E-7</c:v>
                </c:pt>
                <c:pt idx="1">
                  <c:v>2.8845520019531249E-7</c:v>
                </c:pt>
                <c:pt idx="2">
                  <c:v>5.7691040039062498E-7</c:v>
                </c:pt>
                <c:pt idx="3">
                  <c:v>1.15382080078125E-6</c:v>
                </c:pt>
                <c:pt idx="4">
                  <c:v>2.3076416015624999E-6</c:v>
                </c:pt>
                <c:pt idx="5">
                  <c:v>4.6152832031249999E-6</c:v>
                </c:pt>
                <c:pt idx="6">
                  <c:v>9.2305664062499997E-6</c:v>
                </c:pt>
                <c:pt idx="7">
                  <c:v>1.8461132812499999E-5</c:v>
                </c:pt>
                <c:pt idx="8">
                  <c:v>3.6922265624999999E-5</c:v>
                </c:pt>
                <c:pt idx="9">
                  <c:v>7.3844531249999998E-5</c:v>
                </c:pt>
                <c:pt idx="10">
                  <c:v>1.476890625E-4</c:v>
                </c:pt>
                <c:pt idx="11">
                  <c:v>2.9537812499999999E-4</c:v>
                </c:pt>
                <c:pt idx="12">
                  <c:v>5.9075624999999998E-4</c:v>
                </c:pt>
                <c:pt idx="13">
                  <c:v>1.1815125E-3</c:v>
                </c:pt>
                <c:pt idx="14">
                  <c:v>2.3630249999999999E-3</c:v>
                </c:pt>
                <c:pt idx="15">
                  <c:v>4.7260499999999999E-3</c:v>
                </c:pt>
                <c:pt idx="16">
                  <c:v>9.4520999999999997E-3</c:v>
                </c:pt>
                <c:pt idx="17">
                  <c:v>1.8904199999999999E-2</c:v>
                </c:pt>
                <c:pt idx="18">
                  <c:v>3.7808399999999999E-2</c:v>
                </c:pt>
                <c:pt idx="19">
                  <c:v>7.5616799999999998E-2</c:v>
                </c:pt>
                <c:pt idx="20">
                  <c:v>0.1512336</c:v>
                </c:pt>
                <c:pt idx="21">
                  <c:v>0.30246719999999999</c:v>
                </c:pt>
                <c:pt idx="22">
                  <c:v>0.60493439999999998</c:v>
                </c:pt>
                <c:pt idx="23">
                  <c:v>1.2098688</c:v>
                </c:pt>
                <c:pt idx="24">
                  <c:v>2.4197375999999999</c:v>
                </c:pt>
                <c:pt idx="25">
                  <c:v>4.8394751999999999</c:v>
                </c:pt>
                <c:pt idx="26">
                  <c:v>9.6789503999999997</c:v>
                </c:pt>
                <c:pt idx="27">
                  <c:v>19.357900799999999</c:v>
                </c:pt>
                <c:pt idx="28">
                  <c:v>38.715801599999999</c:v>
                </c:pt>
                <c:pt idx="29">
                  <c:v>77.431603199999998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2D-4416-8659-32038A781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03535"/>
        <c:axId val="56405935"/>
      </c:scatterChart>
      <c:valAx>
        <c:axId val="5640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5935"/>
        <c:crosses val="autoZero"/>
        <c:crossBetween val="midCat"/>
      </c:valAx>
      <c:valAx>
        <c:axId val="5640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蛮力  </a:t>
            </a:r>
            <a:r>
              <a:rPr lang="en-US" altLang="zh-CN"/>
              <a:t>f=25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Sheet1!$DK$2:$DK$7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Sheet1!$DM$2:$DM$7</c:f>
              <c:numCache>
                <c:formatCode>General</c:formatCode>
                <c:ptCount val="6"/>
                <c:pt idx="0" formatCode="0.00E+00">
                  <c:v>7.1525600000000001E-7</c:v>
                </c:pt>
                <c:pt idx="1">
                  <c:v>0.250664</c:v>
                </c:pt>
                <c:pt idx="2">
                  <c:v>3.17597</c:v>
                </c:pt>
                <c:pt idx="3">
                  <c:v>18.4682</c:v>
                </c:pt>
                <c:pt idx="4">
                  <c:v>70.330500000000001</c:v>
                </c:pt>
                <c:pt idx="5">
                  <c:v>200.77799999999999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AC-4B9F-BCFA-169224881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94063"/>
        <c:axId val="24985903"/>
      </c:scatterChart>
      <c:valAx>
        <c:axId val="2499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85903"/>
        <c:crosses val="autoZero"/>
        <c:crossBetween val="midCat"/>
      </c:valAx>
      <c:valAx>
        <c:axId val="249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99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10^15</a:t>
            </a:r>
            <a:r>
              <a:rPr lang="zh-CN" altLang="en-US"/>
              <a:t>规模下的逆向  </a:t>
            </a:r>
            <a:r>
              <a:rPr lang="en-US" altLang="zh-CN"/>
              <a:t>e=3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Sheet1!$DW$2:$DW$21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Sheet1!$DY$2:$DY$21</c:f>
              <c:numCache>
                <c:formatCode>General</c:formatCode>
                <c:ptCount val="20"/>
                <c:pt idx="0" formatCode="0.00E+00">
                  <c:v>2.3841900000000001E-7</c:v>
                </c:pt>
                <c:pt idx="1">
                  <c:v>9.1304799999999998E-3</c:v>
                </c:pt>
                <c:pt idx="2">
                  <c:v>1.03879E-2</c:v>
                </c:pt>
                <c:pt idx="3">
                  <c:v>1.25349E-2</c:v>
                </c:pt>
                <c:pt idx="4">
                  <c:v>1.33977E-2</c:v>
                </c:pt>
                <c:pt idx="5">
                  <c:v>1.4873300000000001E-2</c:v>
                </c:pt>
                <c:pt idx="6">
                  <c:v>1.47645E-2</c:v>
                </c:pt>
                <c:pt idx="7">
                  <c:v>1.67992E-2</c:v>
                </c:pt>
                <c:pt idx="8">
                  <c:v>1.8876299999999999E-2</c:v>
                </c:pt>
                <c:pt idx="9">
                  <c:v>2.09827E-2</c:v>
                </c:pt>
                <c:pt idx="10">
                  <c:v>1.99177E-2</c:v>
                </c:pt>
                <c:pt idx="11">
                  <c:v>2.13163E-2</c:v>
                </c:pt>
                <c:pt idx="12">
                  <c:v>2.1231699999999999E-2</c:v>
                </c:pt>
                <c:pt idx="13">
                  <c:v>2.0315400000000001E-2</c:v>
                </c:pt>
                <c:pt idx="14">
                  <c:v>2.1981500000000001E-2</c:v>
                </c:pt>
                <c:pt idx="15">
                  <c:v>2.3875500000000001E-2</c:v>
                </c:pt>
                <c:pt idx="16">
                  <c:v>2.21703E-2</c:v>
                </c:pt>
                <c:pt idx="17">
                  <c:v>2.45662E-2</c:v>
                </c:pt>
                <c:pt idx="18">
                  <c:v>2.20022E-2</c:v>
                </c:pt>
                <c:pt idx="19">
                  <c:v>2.4695600000000002E-2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A-49D1-8DF3-FD8A145B95FF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Sheet1!$DW$2:$DW$21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Sheet1!$DX$2:$DX$21</c:f>
              <c:numCache>
                <c:formatCode>General</c:formatCode>
                <c:ptCount val="20"/>
                <c:pt idx="0">
                  <c:v>5.5194636031827525E-3</c:v>
                </c:pt>
                <c:pt idx="1">
                  <c:v>9.4381499999999993E-3</c:v>
                </c:pt>
                <c:pt idx="2">
                  <c:v>1.1891323857065298E-2</c:v>
                </c:pt>
                <c:pt idx="3">
                  <c:v>1.3612167781996868E-2</c:v>
                </c:pt>
                <c:pt idx="4">
                  <c:v>1.4982129238633662E-2</c:v>
                </c:pt>
                <c:pt idx="5">
                  <c:v>1.6139009481126666E-2</c:v>
                </c:pt>
                <c:pt idx="6">
                  <c:v>1.7150256723238659E-2</c:v>
                </c:pt>
                <c:pt idx="7">
                  <c:v>1.8054531442683219E-2</c:v>
                </c:pt>
                <c:pt idx="8">
                  <c:v>1.8876299999999999E-2</c:v>
                </c:pt>
                <c:pt idx="9">
                  <c:v>1.9632143134537323E-2</c:v>
                </c:pt>
                <c:pt idx="10">
                  <c:v>2.033387776972442E-2</c:v>
                </c:pt>
                <c:pt idx="11">
                  <c:v>2.0990257691806784E-2</c:v>
                </c:pt>
                <c:pt idx="12">
                  <c:v>2.1607969456709456E-2</c:v>
                </c:pt>
                <c:pt idx="13">
                  <c:v>2.2192249482911659E-2</c:v>
                </c:pt>
                <c:pt idx="14">
                  <c:v>2.2747284210625444E-2</c:v>
                </c:pt>
                <c:pt idx="15">
                  <c:v>2.3276479489342118E-2</c:v>
                </c:pt>
                <c:pt idx="16">
                  <c:v>2.3782647714130582E-2</c:v>
                </c:pt>
                <c:pt idx="17">
                  <c:v>2.4268141344871021E-2</c:v>
                </c:pt>
                <c:pt idx="18">
                  <c:v>2.4734950389752691E-2</c:v>
                </c:pt>
                <c:pt idx="19">
                  <c:v>2.5184775020885019E-2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6B-49B5-974E-E89F2CA2C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425744"/>
        <c:axId val="1785426704"/>
      </c:scatterChart>
      <c:valAx>
        <c:axId val="1785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5426704"/>
        <c:crosses val="autoZero"/>
        <c:crossBetween val="midCat"/>
      </c:valAx>
      <c:valAx>
        <c:axId val="17854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542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10^13</a:t>
            </a:r>
            <a:r>
              <a:rPr lang="zh-CN" altLang="en-US"/>
              <a:t>规模下的逆向  </a:t>
            </a:r>
            <a:r>
              <a:rPr lang="en-US" altLang="zh-CN"/>
              <a:t>e=2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实际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Sheet1!$EJ$2:$EJ$21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Sheet1!$EL$2:$EL$21</c:f>
              <c:numCache>
                <c:formatCode>General</c:formatCode>
                <c:ptCount val="20"/>
                <c:pt idx="0" formatCode="0.00E+00">
                  <c:v>2.3841900000000001E-7</c:v>
                </c:pt>
                <c:pt idx="1">
                  <c:v>0.16370399999999999</c:v>
                </c:pt>
                <c:pt idx="2">
                  <c:v>0.228715</c:v>
                </c:pt>
                <c:pt idx="3">
                  <c:v>0.28959499999999999</c:v>
                </c:pt>
                <c:pt idx="4">
                  <c:v>0.34073300000000001</c:v>
                </c:pt>
                <c:pt idx="5">
                  <c:v>0.35346300000000003</c:v>
                </c:pt>
                <c:pt idx="6">
                  <c:v>0.421593</c:v>
                </c:pt>
                <c:pt idx="7">
                  <c:v>0.43076100000000001</c:v>
                </c:pt>
                <c:pt idx="8">
                  <c:v>0.457735</c:v>
                </c:pt>
                <c:pt idx="9">
                  <c:v>0.51289899999999999</c:v>
                </c:pt>
                <c:pt idx="10">
                  <c:v>0.50794600000000001</c:v>
                </c:pt>
                <c:pt idx="11">
                  <c:v>0.57227799999999995</c:v>
                </c:pt>
                <c:pt idx="12">
                  <c:v>0.63371900000000003</c:v>
                </c:pt>
                <c:pt idx="13">
                  <c:v>0.62618499999999999</c:v>
                </c:pt>
                <c:pt idx="14">
                  <c:v>0.64797199999999999</c:v>
                </c:pt>
                <c:pt idx="15">
                  <c:v>0.63751899999999995</c:v>
                </c:pt>
                <c:pt idx="16">
                  <c:v>0.67746600000000001</c:v>
                </c:pt>
                <c:pt idx="17">
                  <c:v>0.70789000000000002</c:v>
                </c:pt>
                <c:pt idx="18">
                  <c:v>0.76893299999999998</c:v>
                </c:pt>
                <c:pt idx="19">
                  <c:v>0.83837099999999998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5E-411F-B59F-5030E4CF9E6E}"/>
            </c:ext>
          </c:extLst>
        </c:ser>
        <c:ser>
          <c:idx val="1"/>
          <c:order val="1"/>
          <c:tx>
            <c:v>理论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Sheet1!$EJ$2:$EJ$21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</c:numCache>
            </c:numRef>
          </c:xVal>
          <c:yVal>
            <c:numRef>
              <c:f>Sheet1!$EK$2:$EK$21</c:f>
              <c:numCache>
                <c:formatCode>General</c:formatCode>
                <c:ptCount val="20"/>
                <c:pt idx="0">
                  <c:v>7.2374258238858652E-2</c:v>
                </c:pt>
                <c:pt idx="1">
                  <c:v>0.16183376124321217</c:v>
                </c:pt>
                <c:pt idx="2">
                  <c:v>0.2288675</c:v>
                </c:pt>
                <c:pt idx="3">
                  <c:v>0.28030429685321451</c:v>
                </c:pt>
                <c:pt idx="4">
                  <c:v>0.32366752248642433</c:v>
                </c:pt>
                <c:pt idx="5">
                  <c:v>0.36187129119429329</c:v>
                </c:pt>
                <c:pt idx="6">
                  <c:v>0.39641013820127002</c:v>
                </c:pt>
                <c:pt idx="7">
                  <c:v>0.42817188598374251</c:v>
                </c:pt>
                <c:pt idx="8">
                  <c:v>0.457735</c:v>
                </c:pt>
                <c:pt idx="9">
                  <c:v>0.48550128372963647</c:v>
                </c:pt>
                <c:pt idx="10">
                  <c:v>0.51176328784043312</c:v>
                </c:pt>
                <c:pt idx="11">
                  <c:v>0.53674186445569438</c:v>
                </c:pt>
                <c:pt idx="12">
                  <c:v>0.56060859370642901</c:v>
                </c:pt>
                <c:pt idx="13">
                  <c:v>0.58349992426359831</c:v>
                </c:pt>
                <c:pt idx="14">
                  <c:v>0.60552648818507515</c:v>
                </c:pt>
                <c:pt idx="15">
                  <c:v>0.6267794621490681</c:v>
                </c:pt>
                <c:pt idx="16">
                  <c:v>0.64733504497284866</c:v>
                </c:pt>
                <c:pt idx="17">
                  <c:v>0.66725769139675339</c:v>
                </c:pt>
                <c:pt idx="18">
                  <c:v>0.6866025</c:v>
                </c:pt>
                <c:pt idx="19">
                  <c:v>0.70541701091225106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1D-4E99-9279-3945AAFDF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087296"/>
        <c:axId val="1532084896"/>
      </c:scatterChart>
      <c:valAx>
        <c:axId val="153208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084896"/>
        <c:crosses val="autoZero"/>
        <c:crossBetween val="midCat"/>
      </c:valAx>
      <c:valAx>
        <c:axId val="153208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08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11905</xdr:colOff>
      <xdr:row>0</xdr:row>
      <xdr:rowOff>0</xdr:rowOff>
    </xdr:from>
    <xdr:to>
      <xdr:col>18</xdr:col>
      <xdr:colOff>50005</xdr:colOff>
      <xdr:row>15</xdr:row>
      <xdr:rowOff>100012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1D27A0-D62F-3850-56E1-EB849D9F2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40480</xdr:colOff>
      <xdr:row>0</xdr:row>
      <xdr:rowOff>0</xdr:rowOff>
    </xdr:from>
    <xdr:to>
      <xdr:col>25</xdr:col>
      <xdr:colOff>78580</xdr:colOff>
      <xdr:row>15</xdr:row>
      <xdr:rowOff>100012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85871EF-C19E-8BDC-CD03-F38E44D30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7142</xdr:colOff>
      <xdr:row>15</xdr:row>
      <xdr:rowOff>97631</xdr:rowOff>
    </xdr:from>
    <xdr:to>
      <xdr:col>18</xdr:col>
      <xdr:colOff>45242</xdr:colOff>
      <xdr:row>31</xdr:row>
      <xdr:rowOff>21431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37CF069-B0D2-A386-BA17-985C04E58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54768</xdr:colOff>
      <xdr:row>15</xdr:row>
      <xdr:rowOff>92869</xdr:rowOff>
    </xdr:from>
    <xdr:to>
      <xdr:col>25</xdr:col>
      <xdr:colOff>92868</xdr:colOff>
      <xdr:row>31</xdr:row>
      <xdr:rowOff>16669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BD86AD5-BDC2-5C8E-4F24-16E05D608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350042</xdr:colOff>
      <xdr:row>23</xdr:row>
      <xdr:rowOff>80961</xdr:rowOff>
    </xdr:from>
    <xdr:to>
      <xdr:col>8</xdr:col>
      <xdr:colOff>552450</xdr:colOff>
      <xdr:row>44</xdr:row>
      <xdr:rowOff>61912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278D127-39E1-4841-0273-E4ABF5BCD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435768</xdr:colOff>
      <xdr:row>0</xdr:row>
      <xdr:rowOff>40480</xdr:rowOff>
    </xdr:from>
    <xdr:to>
      <xdr:col>43</xdr:col>
      <xdr:colOff>473868</xdr:colOff>
      <xdr:row>15</xdr:row>
      <xdr:rowOff>140492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EDFC558-5CAC-5930-DC2A-F1518F335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597693</xdr:colOff>
      <xdr:row>0</xdr:row>
      <xdr:rowOff>7143</xdr:rowOff>
    </xdr:from>
    <xdr:to>
      <xdr:col>50</xdr:col>
      <xdr:colOff>635793</xdr:colOff>
      <xdr:row>15</xdr:row>
      <xdr:rowOff>107155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E23B874-F870-131B-89C0-45DB59B9F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435768</xdr:colOff>
      <xdr:row>16</xdr:row>
      <xdr:rowOff>30956</xdr:rowOff>
    </xdr:from>
    <xdr:to>
      <xdr:col>43</xdr:col>
      <xdr:colOff>473868</xdr:colOff>
      <xdr:row>31</xdr:row>
      <xdr:rowOff>130968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91E9998-AE75-22A0-BFDB-96D1E6176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640555</xdr:colOff>
      <xdr:row>16</xdr:row>
      <xdr:rowOff>35719</xdr:rowOff>
    </xdr:from>
    <xdr:to>
      <xdr:col>51</xdr:col>
      <xdr:colOff>30955</xdr:colOff>
      <xdr:row>31</xdr:row>
      <xdr:rowOff>135731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BE4E989-584B-9029-A173-985B68F75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509587</xdr:colOff>
      <xdr:row>23</xdr:row>
      <xdr:rowOff>76199</xdr:rowOff>
    </xdr:from>
    <xdr:to>
      <xdr:col>34</xdr:col>
      <xdr:colOff>490537</xdr:colOff>
      <xdr:row>39</xdr:row>
      <xdr:rowOff>142874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F166086-CDB7-4630-A2A2-7897E7571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70</xdr:col>
      <xdr:colOff>283367</xdr:colOff>
      <xdr:row>1</xdr:row>
      <xdr:rowOff>83344</xdr:rowOff>
    </xdr:from>
    <xdr:to>
      <xdr:col>77</xdr:col>
      <xdr:colOff>321467</xdr:colOff>
      <xdr:row>17</xdr:row>
      <xdr:rowOff>7144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4B0640F-55C8-4086-4AE9-D71E10DC0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63</xdr:col>
      <xdr:colOff>145256</xdr:colOff>
      <xdr:row>1</xdr:row>
      <xdr:rowOff>73818</xdr:rowOff>
    </xdr:from>
    <xdr:to>
      <xdr:col>70</xdr:col>
      <xdr:colOff>183356</xdr:colOff>
      <xdr:row>16</xdr:row>
      <xdr:rowOff>173831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20BB0EF0-343E-3264-B69C-E1A53548C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63</xdr:col>
      <xdr:colOff>154780</xdr:colOff>
      <xdr:row>18</xdr:row>
      <xdr:rowOff>83344</xdr:rowOff>
    </xdr:from>
    <xdr:to>
      <xdr:col>70</xdr:col>
      <xdr:colOff>192880</xdr:colOff>
      <xdr:row>34</xdr:row>
      <xdr:rowOff>7144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5CCA752D-C195-CBDB-7A05-9361956C1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70</xdr:col>
      <xdr:colOff>330993</xdr:colOff>
      <xdr:row>18</xdr:row>
      <xdr:rowOff>116681</xdr:rowOff>
    </xdr:from>
    <xdr:to>
      <xdr:col>77</xdr:col>
      <xdr:colOff>369093</xdr:colOff>
      <xdr:row>34</xdr:row>
      <xdr:rowOff>40481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A4079197-BA87-64F4-30FA-B510892A2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178593</xdr:colOff>
      <xdr:row>34</xdr:row>
      <xdr:rowOff>164306</xdr:rowOff>
    </xdr:from>
    <xdr:to>
      <xdr:col>70</xdr:col>
      <xdr:colOff>216693</xdr:colOff>
      <xdr:row>50</xdr:row>
      <xdr:rowOff>88106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79F530CF-63C4-8235-2E63-18E0A741C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70</xdr:col>
      <xdr:colOff>342900</xdr:colOff>
      <xdr:row>34</xdr:row>
      <xdr:rowOff>157163</xdr:rowOff>
    </xdr:from>
    <xdr:to>
      <xdr:col>77</xdr:col>
      <xdr:colOff>381000</xdr:colOff>
      <xdr:row>50</xdr:row>
      <xdr:rowOff>80963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8743D74E-F9AC-487A-A4A3-CBFAEBE30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53</xdr:col>
      <xdr:colOff>564356</xdr:colOff>
      <xdr:row>43</xdr:row>
      <xdr:rowOff>111917</xdr:rowOff>
    </xdr:from>
    <xdr:to>
      <xdr:col>60</xdr:col>
      <xdr:colOff>602456</xdr:colOff>
      <xdr:row>59</xdr:row>
      <xdr:rowOff>35717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C3B78623-C720-1E4A-7B06-09E65BA03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575922</xdr:colOff>
      <xdr:row>59</xdr:row>
      <xdr:rowOff>29595</xdr:rowOff>
    </xdr:from>
    <xdr:to>
      <xdr:col>60</xdr:col>
      <xdr:colOff>614022</xdr:colOff>
      <xdr:row>74</xdr:row>
      <xdr:rowOff>130288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2AF4A159-0B08-589E-5EFE-5B7B4F584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61</xdr:col>
      <xdr:colOff>216692</xdr:colOff>
      <xdr:row>51</xdr:row>
      <xdr:rowOff>42862</xdr:rowOff>
    </xdr:from>
    <xdr:to>
      <xdr:col>70</xdr:col>
      <xdr:colOff>323849</xdr:colOff>
      <xdr:row>69</xdr:row>
      <xdr:rowOff>92867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A90D339A-0085-0904-52B9-56EB24A5B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53</xdr:col>
      <xdr:colOff>561634</xdr:colOff>
      <xdr:row>74</xdr:row>
      <xdr:rowOff>137773</xdr:rowOff>
    </xdr:from>
    <xdr:to>
      <xdr:col>60</xdr:col>
      <xdr:colOff>599734</xdr:colOff>
      <xdr:row>90</xdr:row>
      <xdr:rowOff>61573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B4E2A9AE-1F2C-5E4D-F639-3C22DAB14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89</xdr:col>
      <xdr:colOff>488156</xdr:colOff>
      <xdr:row>0</xdr:row>
      <xdr:rowOff>169069</xdr:rowOff>
    </xdr:from>
    <xdr:to>
      <xdr:col>96</xdr:col>
      <xdr:colOff>526256</xdr:colOff>
      <xdr:row>16</xdr:row>
      <xdr:rowOff>92869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C3CEFD0E-91A8-F9A5-0DA9-A5347377A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96</xdr:col>
      <xdr:colOff>588168</xdr:colOff>
      <xdr:row>0</xdr:row>
      <xdr:rowOff>145256</xdr:rowOff>
    </xdr:from>
    <xdr:to>
      <xdr:col>103</xdr:col>
      <xdr:colOff>626268</xdr:colOff>
      <xdr:row>16</xdr:row>
      <xdr:rowOff>69056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2A070810-DC81-03A1-1A58-5B035A506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89</xdr:col>
      <xdr:colOff>521494</xdr:colOff>
      <xdr:row>17</xdr:row>
      <xdr:rowOff>111918</xdr:rowOff>
    </xdr:from>
    <xdr:to>
      <xdr:col>96</xdr:col>
      <xdr:colOff>559594</xdr:colOff>
      <xdr:row>33</xdr:row>
      <xdr:rowOff>35718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5FDA90BA-9E78-7F89-6992-3C675D2A6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97</xdr:col>
      <xdr:colOff>54769</xdr:colOff>
      <xdr:row>17</xdr:row>
      <xdr:rowOff>107156</xdr:rowOff>
    </xdr:from>
    <xdr:to>
      <xdr:col>104</xdr:col>
      <xdr:colOff>92869</xdr:colOff>
      <xdr:row>33</xdr:row>
      <xdr:rowOff>30956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C3295AF2-CD6B-5103-BA38-B229438B1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79</xdr:col>
      <xdr:colOff>328613</xdr:colOff>
      <xdr:row>22</xdr:row>
      <xdr:rowOff>147639</xdr:rowOff>
    </xdr:from>
    <xdr:to>
      <xdr:col>86</xdr:col>
      <xdr:colOff>219076</xdr:colOff>
      <xdr:row>38</xdr:row>
      <xdr:rowOff>71439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E992C6BE-94DB-4F79-938B-AD6DD28D9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79</xdr:col>
      <xdr:colOff>252412</xdr:colOff>
      <xdr:row>39</xdr:row>
      <xdr:rowOff>90487</xdr:rowOff>
    </xdr:from>
    <xdr:to>
      <xdr:col>86</xdr:col>
      <xdr:colOff>142875</xdr:colOff>
      <xdr:row>55</xdr:row>
      <xdr:rowOff>14287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D4E53C79-B4E2-4C5A-93E9-A8C49D86D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28</xdr:col>
      <xdr:colOff>566738</xdr:colOff>
      <xdr:row>41</xdr:row>
      <xdr:rowOff>28575</xdr:rowOff>
    </xdr:from>
    <xdr:to>
      <xdr:col>34</xdr:col>
      <xdr:colOff>547688</xdr:colOff>
      <xdr:row>57</xdr:row>
      <xdr:rowOff>95250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CBE5AE55-A3D7-4617-A184-CD53D97E0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106</xdr:col>
      <xdr:colOff>235743</xdr:colOff>
      <xdr:row>32</xdr:row>
      <xdr:rowOff>16669</xdr:rowOff>
    </xdr:from>
    <xdr:to>
      <xdr:col>112</xdr:col>
      <xdr:colOff>7143</xdr:colOff>
      <xdr:row>47</xdr:row>
      <xdr:rowOff>116681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0EFF102E-3A71-5A62-A6FD-4DE0465AE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113</xdr:col>
      <xdr:colOff>631030</xdr:colOff>
      <xdr:row>31</xdr:row>
      <xdr:rowOff>159543</xdr:rowOff>
    </xdr:from>
    <xdr:to>
      <xdr:col>121</xdr:col>
      <xdr:colOff>21430</xdr:colOff>
      <xdr:row>47</xdr:row>
      <xdr:rowOff>83343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5F6210DF-4985-91E3-70DB-F6245EB0F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125</xdr:col>
      <xdr:colOff>421821</xdr:colOff>
      <xdr:row>22</xdr:row>
      <xdr:rowOff>162943</xdr:rowOff>
    </xdr:from>
    <xdr:to>
      <xdr:col>133</xdr:col>
      <xdr:colOff>22792</xdr:colOff>
      <xdr:row>40</xdr:row>
      <xdr:rowOff>74839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39F0C48A-0B78-3290-A9DA-C6F4388CA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133</xdr:col>
      <xdr:colOff>232343</xdr:colOff>
      <xdr:row>23</xdr:row>
      <xdr:rowOff>19389</xdr:rowOff>
    </xdr:from>
    <xdr:to>
      <xdr:col>141</xdr:col>
      <xdr:colOff>190500</xdr:colOff>
      <xdr:row>40</xdr:row>
      <xdr:rowOff>149679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CA29FB7-9C2A-0178-1044-222D4ADF5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32"/>
  <sheetViews>
    <sheetView tabSelected="1" topLeftCell="DG7" zoomScale="55" zoomScaleNormal="55" workbookViewId="0">
      <selection activeCell="EM44" sqref="EM44"/>
    </sheetView>
  </sheetViews>
  <sheetFormatPr defaultRowHeight="13.9" x14ac:dyDescent="0.4"/>
  <cols>
    <col min="4" max="4" width="12.19921875" bestFit="1" customWidth="1"/>
    <col min="5" max="5" width="12.19921875" customWidth="1"/>
    <col min="6" max="6" width="12.19921875" bestFit="1" customWidth="1"/>
    <col min="7" max="7" width="12.19921875" customWidth="1"/>
    <col min="8" max="9" width="16.06640625" customWidth="1"/>
    <col min="10" max="10" width="14" customWidth="1"/>
    <col min="30" max="30" width="12.19921875" bestFit="1" customWidth="1"/>
    <col min="31" max="31" width="12.46484375" bestFit="1" customWidth="1"/>
    <col min="32" max="32" width="12.19921875" bestFit="1" customWidth="1"/>
    <col min="33" max="33" width="12.46484375" bestFit="1" customWidth="1"/>
    <col min="34" max="34" width="13.06640625" customWidth="1"/>
    <col min="35" max="35" width="12.46484375" bestFit="1" customWidth="1"/>
    <col min="36" max="36" width="11.06640625" customWidth="1"/>
    <col min="62" max="62" width="12.33203125" customWidth="1"/>
    <col min="85" max="85" width="11.1328125" bestFit="1" customWidth="1"/>
    <col min="87" max="87" width="15.265625" bestFit="1" customWidth="1"/>
    <col min="89" max="89" width="13.265625" customWidth="1"/>
    <col min="108" max="108" width="18.73046875" customWidth="1"/>
    <col min="109" max="109" width="12.19921875" bestFit="1" customWidth="1"/>
  </cols>
  <sheetData>
    <row r="1" spans="1:148" x14ac:dyDescent="0.4">
      <c r="A1" t="s">
        <v>18</v>
      </c>
      <c r="B1" t="s">
        <v>17</v>
      </c>
      <c r="C1" t="s">
        <v>102</v>
      </c>
      <c r="D1" t="s">
        <v>13</v>
      </c>
      <c r="E1" t="s">
        <v>102</v>
      </c>
      <c r="F1" t="s">
        <v>14</v>
      </c>
      <c r="G1" t="s">
        <v>102</v>
      </c>
      <c r="H1" t="s">
        <v>15</v>
      </c>
      <c r="I1" t="s">
        <v>102</v>
      </c>
      <c r="J1" t="s">
        <v>16</v>
      </c>
      <c r="AA1" t="s">
        <v>103</v>
      </c>
      <c r="AB1" t="s">
        <v>104</v>
      </c>
      <c r="AC1" t="s">
        <v>102</v>
      </c>
      <c r="AD1" t="s">
        <v>13</v>
      </c>
      <c r="AE1" t="s">
        <v>102</v>
      </c>
      <c r="AF1" t="s">
        <v>14</v>
      </c>
      <c r="AG1" t="s">
        <v>102</v>
      </c>
      <c r="AH1" t="s">
        <v>15</v>
      </c>
      <c r="AI1" t="s">
        <v>102</v>
      </c>
      <c r="AJ1" t="s">
        <v>16</v>
      </c>
      <c r="BB1" t="s">
        <v>103</v>
      </c>
      <c r="BC1" t="s">
        <v>104</v>
      </c>
      <c r="BD1" t="s">
        <v>102</v>
      </c>
      <c r="BE1" t="s">
        <v>13</v>
      </c>
      <c r="BF1" t="s">
        <v>102</v>
      </c>
      <c r="BG1" t="s">
        <v>14</v>
      </c>
      <c r="BH1" t="s">
        <v>102</v>
      </c>
      <c r="BI1" t="s">
        <v>15</v>
      </c>
      <c r="BJ1" t="s">
        <v>102</v>
      </c>
      <c r="BK1" t="s">
        <v>16</v>
      </c>
      <c r="CB1" t="s">
        <v>18</v>
      </c>
      <c r="CC1" t="s">
        <v>368</v>
      </c>
      <c r="CD1" t="s">
        <v>102</v>
      </c>
      <c r="CE1" t="s">
        <v>13</v>
      </c>
      <c r="CF1" t="s">
        <v>102</v>
      </c>
      <c r="CG1" t="s">
        <v>14</v>
      </c>
      <c r="CH1" t="s">
        <v>102</v>
      </c>
      <c r="CI1" t="s">
        <v>15</v>
      </c>
      <c r="CJ1" t="s">
        <v>102</v>
      </c>
      <c r="CK1" t="s">
        <v>16</v>
      </c>
      <c r="DB1" t="s">
        <v>446</v>
      </c>
      <c r="DC1" t="s">
        <v>104</v>
      </c>
      <c r="DE1" t="s">
        <v>445</v>
      </c>
      <c r="DH1" t="s">
        <v>447</v>
      </c>
      <c r="DK1" t="s">
        <v>18</v>
      </c>
      <c r="DM1" t="s">
        <v>511</v>
      </c>
      <c r="DP1" t="s">
        <v>506</v>
      </c>
      <c r="DS1">
        <v>1</v>
      </c>
      <c r="DV1" t="s">
        <v>446</v>
      </c>
      <c r="DW1" t="s">
        <v>541</v>
      </c>
      <c r="DY1" t="s">
        <v>542</v>
      </c>
      <c r="EA1" t="s">
        <v>447</v>
      </c>
      <c r="EE1" t="s">
        <v>531</v>
      </c>
      <c r="EI1" t="s">
        <v>446</v>
      </c>
      <c r="EJ1" t="s">
        <v>581</v>
      </c>
      <c r="EL1" t="s">
        <v>542</v>
      </c>
      <c r="EN1" t="s">
        <v>563</v>
      </c>
      <c r="ER1" t="s">
        <v>571</v>
      </c>
    </row>
    <row r="2" spans="1:148" x14ac:dyDescent="0.4">
      <c r="A2">
        <v>1</v>
      </c>
      <c r="C2">
        <f t="shared" ref="C2:C10" si="0">C3/A3*A2</f>
        <v>3.3478800000000002E-5</v>
      </c>
      <c r="D2">
        <v>0</v>
      </c>
      <c r="E2">
        <f t="shared" ref="E2:E10" si="1">E3/A3*A2</f>
        <v>2.7370400000000001E-6</v>
      </c>
      <c r="F2">
        <v>0</v>
      </c>
      <c r="G2">
        <f t="shared" ref="G2:G10" si="2">G3/A3*A2</f>
        <v>2.8991599999999999E-6</v>
      </c>
      <c r="H2">
        <v>0</v>
      </c>
      <c r="I2">
        <f t="shared" ref="I2:I10" si="3">I3/A3*A2</f>
        <v>4.2915399999999999E-8</v>
      </c>
      <c r="J2" s="1">
        <v>4.76837E-7</v>
      </c>
      <c r="AB2">
        <v>1</v>
      </c>
      <c r="AC2">
        <f t="shared" ref="AC2:AC10" si="4">AC3/AB3/AB3*AB2*AB2</f>
        <v>4.1112799999999995E-8</v>
      </c>
      <c r="AD2">
        <v>0</v>
      </c>
      <c r="AE2">
        <f t="shared" ref="AE2:AE10" si="5">AE3/AB3*AB2/LOG10(AB3)*LOG10(AB2)</f>
        <v>0</v>
      </c>
      <c r="AF2" s="1">
        <v>2.3841900000000001E-7</v>
      </c>
      <c r="AG2">
        <f t="shared" ref="AG2:AG10" si="6">AG3/AB3*AB2/LOG10(AB3)*LOG10(AB2)</f>
        <v>0</v>
      </c>
      <c r="AH2" s="1">
        <v>2.3841900000000001E-7</v>
      </c>
      <c r="AI2" s="1">
        <f t="shared" ref="AI2:AI14" si="7">AI3/(AB3^(1/20))*(AB2^(1/20))</f>
        <v>6.8984937442562464E-7</v>
      </c>
      <c r="AJ2" s="1">
        <v>0</v>
      </c>
      <c r="BC2">
        <v>1</v>
      </c>
      <c r="BD2">
        <f t="shared" ref="BD2:BD10" si="8">BD3/BC3/BC3*BC2*BC2</f>
        <v>4.1775999999999996E-8</v>
      </c>
      <c r="BE2">
        <v>0</v>
      </c>
      <c r="BF2">
        <f t="shared" ref="BF2:BF10" si="9">BF3/BC3*BC2/LOG10(BC3)*LOG10(BC2)</f>
        <v>0</v>
      </c>
      <c r="BG2" s="1">
        <v>2.3841900000000001E-7</v>
      </c>
      <c r="BH2">
        <f t="shared" ref="BH2:BH10" si="10">BH3/BC3*BC2/LOG10(BC3)*LOG10(BC2)</f>
        <v>0</v>
      </c>
      <c r="BI2" s="1">
        <v>2.3841900000000001E-7</v>
      </c>
      <c r="BJ2" s="1">
        <f t="shared" ref="BJ2:BJ12" si="11">BJ3/(BC3^(1/20))*(BC2^(1/20))</f>
        <v>9.6698555587033316E-7</v>
      </c>
      <c r="BK2" s="1">
        <v>0</v>
      </c>
      <c r="CB2">
        <v>1</v>
      </c>
      <c r="CD2">
        <f t="shared" ref="CD2:CD10" si="12">CD3/CB3*CB2</f>
        <v>0.21381599999999995</v>
      </c>
      <c r="CE2" s="1">
        <v>2.3841900000000001E-7</v>
      </c>
      <c r="CF2">
        <f t="shared" ref="CF2:CF10" si="13">CF3/CB3*CB2</f>
        <v>2.0978000000000004E-4</v>
      </c>
      <c r="CG2">
        <v>0</v>
      </c>
      <c r="CH2">
        <f t="shared" ref="CH2:CH10" si="14">CH3/CB3*CB2</f>
        <v>2.0560799999999997E-4</v>
      </c>
      <c r="CI2">
        <v>0</v>
      </c>
      <c r="CJ2">
        <f t="shared" ref="CJ2:CJ10" si="15">CJ3/CB3*CB2</f>
        <v>6.1988800000000002E-8</v>
      </c>
      <c r="CK2" s="1">
        <v>2.3841900000000001E-7</v>
      </c>
      <c r="DC2">
        <v>1</v>
      </c>
      <c r="DD2" s="1">
        <f t="shared" ref="DD2:DD19" si="16">DD3/2</f>
        <v>1.4422760009765625E-7</v>
      </c>
      <c r="DE2" s="1">
        <v>7.1525600000000001E-7</v>
      </c>
      <c r="DH2" t="s">
        <v>476</v>
      </c>
      <c r="DK2">
        <v>1</v>
      </c>
      <c r="DM2" s="1">
        <v>7.1525600000000001E-7</v>
      </c>
      <c r="DP2" t="s">
        <v>512</v>
      </c>
      <c r="DW2">
        <v>1</v>
      </c>
      <c r="DX2">
        <f t="shared" ref="DX2:DX8" si="17">DX3/DW3^(1/3)*DW2^(1/3)</f>
        <v>5.5194636031827525E-3</v>
      </c>
      <c r="DY2" s="1">
        <v>2.3841900000000001E-7</v>
      </c>
      <c r="EA2" t="s">
        <v>543</v>
      </c>
      <c r="EE2" t="s">
        <v>554</v>
      </c>
      <c r="EJ2">
        <v>1</v>
      </c>
      <c r="EK2">
        <f t="shared" ref="EK2:EK8" si="18">EK3/EJ3^(0.5)*EJ2^(0.5)</f>
        <v>7.2374258238858652E-2</v>
      </c>
      <c r="EL2" s="1">
        <v>2.3841900000000001E-7</v>
      </c>
      <c r="EN2" t="s">
        <v>543</v>
      </c>
      <c r="ER2" t="s">
        <v>593</v>
      </c>
    </row>
    <row r="3" spans="1:148" x14ac:dyDescent="0.4">
      <c r="A3">
        <v>5</v>
      </c>
      <c r="C3">
        <f t="shared" si="0"/>
        <v>1.6739400000000002E-4</v>
      </c>
      <c r="D3">
        <v>1.3518300000000001E-4</v>
      </c>
      <c r="E3">
        <f t="shared" si="1"/>
        <v>1.3685200000000001E-5</v>
      </c>
      <c r="F3" s="1">
        <v>1.7643E-5</v>
      </c>
      <c r="G3">
        <f t="shared" si="2"/>
        <v>1.4495799999999999E-5</v>
      </c>
      <c r="H3" s="1">
        <v>1.7643E-5</v>
      </c>
      <c r="I3">
        <f t="shared" si="3"/>
        <v>2.14577E-7</v>
      </c>
      <c r="J3" s="1">
        <v>2.3841900000000001E-7</v>
      </c>
      <c r="AB3">
        <v>50</v>
      </c>
      <c r="AC3">
        <f t="shared" si="4"/>
        <v>1.0278199999999998E-4</v>
      </c>
      <c r="AD3">
        <v>1.5783299999999999E-4</v>
      </c>
      <c r="AE3">
        <f t="shared" si="5"/>
        <v>1.3222212619163981E-5</v>
      </c>
      <c r="AF3" s="1">
        <v>2.8610199999999999E-5</v>
      </c>
      <c r="AG3">
        <f t="shared" si="6"/>
        <v>1.2982062837724064E-5</v>
      </c>
      <c r="AH3" s="1">
        <v>3.0040699999999999E-5</v>
      </c>
      <c r="AI3" s="1">
        <f t="shared" si="7"/>
        <v>8.3888566856129117E-7</v>
      </c>
      <c r="AJ3" s="1">
        <v>7.1525600000000001E-7</v>
      </c>
      <c r="BC3">
        <v>5000</v>
      </c>
      <c r="BD3">
        <f t="shared" si="8"/>
        <v>1.0444</v>
      </c>
      <c r="BE3">
        <v>1.11432</v>
      </c>
      <c r="BF3">
        <f t="shared" si="9"/>
        <v>2.0434991442583031E-3</v>
      </c>
      <c r="BG3" s="1">
        <v>2.3286299999999999E-3</v>
      </c>
      <c r="BH3">
        <f t="shared" si="10"/>
        <v>2.0232448123251898E-3</v>
      </c>
      <c r="BI3" s="1">
        <v>2.4416400000000001E-3</v>
      </c>
      <c r="BJ3" s="1">
        <f t="shared" si="11"/>
        <v>1.4803639043622575E-6</v>
      </c>
      <c r="BK3" s="1">
        <v>1.43051E-6</v>
      </c>
      <c r="CB3">
        <v>5</v>
      </c>
      <c r="CD3">
        <f t="shared" si="12"/>
        <v>1.0690799999999998</v>
      </c>
      <c r="CE3">
        <v>0.86990599999999996</v>
      </c>
      <c r="CF3">
        <f t="shared" si="13"/>
        <v>1.0489000000000002E-3</v>
      </c>
      <c r="CG3" s="1">
        <v>1.9779200000000002E-3</v>
      </c>
      <c r="CH3">
        <f t="shared" si="14"/>
        <v>1.0280399999999998E-3</v>
      </c>
      <c r="CI3" s="1">
        <v>2.0158300000000001E-3</v>
      </c>
      <c r="CJ3">
        <f t="shared" si="15"/>
        <v>3.0994400000000004E-7</v>
      </c>
      <c r="CK3" s="1">
        <v>7.1525600000000001E-7</v>
      </c>
      <c r="DC3">
        <v>2</v>
      </c>
      <c r="DD3" s="1">
        <f t="shared" si="16"/>
        <v>2.8845520019531249E-7</v>
      </c>
      <c r="DE3" s="1">
        <v>2.3841900000000001E-7</v>
      </c>
      <c r="DH3" t="s">
        <v>448</v>
      </c>
      <c r="DK3">
        <v>2</v>
      </c>
      <c r="DM3">
        <v>0.250664</v>
      </c>
      <c r="DP3" t="s">
        <v>507</v>
      </c>
      <c r="DW3">
        <v>5</v>
      </c>
      <c r="DX3">
        <f t="shared" si="17"/>
        <v>9.4381499999999993E-3</v>
      </c>
      <c r="DY3">
        <v>9.1304799999999998E-3</v>
      </c>
      <c r="EA3" t="s">
        <v>540</v>
      </c>
      <c r="EE3" t="s">
        <v>532</v>
      </c>
      <c r="EJ3">
        <v>5</v>
      </c>
      <c r="EK3">
        <f t="shared" si="18"/>
        <v>0.16183376124321217</v>
      </c>
      <c r="EL3">
        <v>0.16370399999999999</v>
      </c>
      <c r="EN3" t="s">
        <v>582</v>
      </c>
      <c r="ER3" t="s">
        <v>572</v>
      </c>
    </row>
    <row r="4" spans="1:148" x14ac:dyDescent="0.4">
      <c r="A4">
        <v>10</v>
      </c>
      <c r="C4">
        <f t="shared" si="0"/>
        <v>3.3478800000000003E-4</v>
      </c>
      <c r="D4">
        <v>2.99692E-4</v>
      </c>
      <c r="E4">
        <f t="shared" si="1"/>
        <v>2.7370400000000001E-5</v>
      </c>
      <c r="F4" s="1">
        <v>2.38419E-5</v>
      </c>
      <c r="G4">
        <f t="shared" si="2"/>
        <v>2.8991599999999999E-5</v>
      </c>
      <c r="H4" s="1">
        <v>4.2915299999999999E-5</v>
      </c>
      <c r="I4">
        <f t="shared" si="3"/>
        <v>4.2915400000000001E-7</v>
      </c>
      <c r="J4" s="1">
        <v>7.1525600000000001E-7</v>
      </c>
      <c r="AB4">
        <v>100</v>
      </c>
      <c r="AC4">
        <f t="shared" si="4"/>
        <v>4.1112799999999992E-4</v>
      </c>
      <c r="AD4">
        <v>5.1665299999999995E-4</v>
      </c>
      <c r="AE4">
        <f t="shared" si="5"/>
        <v>3.1129949523344072E-5</v>
      </c>
      <c r="AF4" s="1">
        <v>5.0306300000000003E-5</v>
      </c>
      <c r="AG4">
        <f t="shared" si="6"/>
        <v>3.056454864910375E-5</v>
      </c>
      <c r="AH4" s="1">
        <v>6.7949300000000003E-5</v>
      </c>
      <c r="AI4" s="1">
        <f t="shared" si="7"/>
        <v>8.684689077747282E-7</v>
      </c>
      <c r="AJ4" s="1">
        <v>7.1525600000000001E-7</v>
      </c>
      <c r="BC4">
        <v>10000</v>
      </c>
      <c r="BD4">
        <f t="shared" si="8"/>
        <v>4.1776</v>
      </c>
      <c r="BE4">
        <v>4.0424100000000003</v>
      </c>
      <c r="BF4">
        <f t="shared" si="9"/>
        <v>4.4196068459335779E-3</v>
      </c>
      <c r="BG4" s="1">
        <v>4.8120000000000003E-3</v>
      </c>
      <c r="BH4">
        <f t="shared" si="10"/>
        <v>4.3758015013984864E-3</v>
      </c>
      <c r="BI4" s="1">
        <v>4.7941199999999998E-3</v>
      </c>
      <c r="BJ4" s="1">
        <f t="shared" si="11"/>
        <v>1.5325688247071168E-6</v>
      </c>
      <c r="BK4" s="1">
        <v>1.66893E-6</v>
      </c>
      <c r="CB4">
        <v>10</v>
      </c>
      <c r="CD4">
        <f t="shared" si="12"/>
        <v>2.1381599999999996</v>
      </c>
      <c r="CE4">
        <v>1.9602900000000001</v>
      </c>
      <c r="CF4">
        <f t="shared" si="13"/>
        <v>2.0978000000000004E-3</v>
      </c>
      <c r="CG4" s="1">
        <v>3.11875E-3</v>
      </c>
      <c r="CH4">
        <f t="shared" si="14"/>
        <v>2.0560799999999996E-3</v>
      </c>
      <c r="CI4" s="1">
        <v>2.97737E-3</v>
      </c>
      <c r="CJ4">
        <f t="shared" si="15"/>
        <v>6.1988800000000008E-7</v>
      </c>
      <c r="CK4" s="1">
        <v>1.1920899999999999E-6</v>
      </c>
      <c r="DC4">
        <v>3</v>
      </c>
      <c r="DD4" s="1">
        <f t="shared" si="16"/>
        <v>5.7691040039062498E-7</v>
      </c>
      <c r="DE4" s="1">
        <v>2.3841900000000001E-7</v>
      </c>
      <c r="DH4" t="s">
        <v>477</v>
      </c>
      <c r="DK4">
        <v>3</v>
      </c>
      <c r="DM4">
        <v>3.17597</v>
      </c>
      <c r="DP4" t="s">
        <v>513</v>
      </c>
      <c r="DW4">
        <v>10</v>
      </c>
      <c r="DX4">
        <f t="shared" si="17"/>
        <v>1.1891323857065298E-2</v>
      </c>
      <c r="DY4">
        <v>1.03879E-2</v>
      </c>
      <c r="EA4" t="s">
        <v>544</v>
      </c>
      <c r="EE4" t="s">
        <v>555</v>
      </c>
      <c r="EJ4">
        <v>10</v>
      </c>
      <c r="EK4">
        <f t="shared" si="18"/>
        <v>0.2288675</v>
      </c>
      <c r="EL4">
        <v>0.228715</v>
      </c>
      <c r="EN4" t="s">
        <v>583</v>
      </c>
      <c r="ER4" t="s">
        <v>594</v>
      </c>
    </row>
    <row r="5" spans="1:148" x14ac:dyDescent="0.4">
      <c r="A5">
        <v>15</v>
      </c>
      <c r="C5">
        <f t="shared" si="0"/>
        <v>5.02182E-4</v>
      </c>
      <c r="D5">
        <v>3.7670100000000001E-4</v>
      </c>
      <c r="E5">
        <f t="shared" si="1"/>
        <v>4.10556E-5</v>
      </c>
      <c r="F5" s="1">
        <v>3.4809099999999998E-5</v>
      </c>
      <c r="G5">
        <f t="shared" si="2"/>
        <v>4.34874E-5</v>
      </c>
      <c r="H5" s="1">
        <v>3.3855400000000001E-5</v>
      </c>
      <c r="I5">
        <f t="shared" si="3"/>
        <v>6.4373099999999998E-7</v>
      </c>
      <c r="J5" s="1">
        <v>4.76837E-7</v>
      </c>
      <c r="AB5">
        <v>150</v>
      </c>
      <c r="AC5">
        <f t="shared" si="4"/>
        <v>9.2503799999999988E-4</v>
      </c>
      <c r="AD5">
        <v>1.0127999999999999E-3</v>
      </c>
      <c r="AE5">
        <f t="shared" si="5"/>
        <v>5.0806208289445209E-5</v>
      </c>
      <c r="AF5" s="1">
        <v>6.2227199999999999E-5</v>
      </c>
      <c r="AG5">
        <f t="shared" si="6"/>
        <v>4.9883435364222602E-5</v>
      </c>
      <c r="AH5" s="1">
        <v>6.1512000000000003E-5</v>
      </c>
      <c r="AI5" s="1">
        <f t="shared" si="7"/>
        <v>8.8625528444572704E-7</v>
      </c>
      <c r="AJ5" s="1">
        <v>7.1525600000000001E-7</v>
      </c>
      <c r="BC5">
        <v>15000</v>
      </c>
      <c r="BD5">
        <f t="shared" si="8"/>
        <v>9.3995999999999995</v>
      </c>
      <c r="BE5">
        <v>9.4241100000000007</v>
      </c>
      <c r="BF5">
        <f t="shared" si="9"/>
        <v>6.9212555691621994E-3</v>
      </c>
      <c r="BG5" s="1">
        <v>7.9450600000000003E-3</v>
      </c>
      <c r="BH5">
        <f t="shared" si="10"/>
        <v>6.852654900507355E-3</v>
      </c>
      <c r="BI5" s="1">
        <v>8.0063300000000007E-3</v>
      </c>
      <c r="BJ5" s="1">
        <f t="shared" si="11"/>
        <v>1.5639560697154796E-6</v>
      </c>
      <c r="BK5" s="1">
        <v>1.43051E-6</v>
      </c>
      <c r="CB5">
        <v>15</v>
      </c>
      <c r="CD5">
        <f t="shared" si="12"/>
        <v>3.2072399999999992</v>
      </c>
      <c r="CE5">
        <v>3.0309599999999999</v>
      </c>
      <c r="CF5">
        <f t="shared" si="13"/>
        <v>3.1467000000000005E-3</v>
      </c>
      <c r="CG5" s="1">
        <v>3.9377199999999996E-3</v>
      </c>
      <c r="CH5">
        <f t="shared" si="14"/>
        <v>3.0841199999999997E-3</v>
      </c>
      <c r="CI5" s="1">
        <v>3.8857499999999999E-3</v>
      </c>
      <c r="CJ5">
        <f t="shared" si="15"/>
        <v>9.2983200000000001E-7</v>
      </c>
      <c r="CK5" s="1">
        <v>1.43051E-6</v>
      </c>
      <c r="DC5">
        <v>4</v>
      </c>
      <c r="DD5" s="1">
        <f t="shared" si="16"/>
        <v>1.15382080078125E-6</v>
      </c>
      <c r="DE5" s="1">
        <v>4.76837E-7</v>
      </c>
      <c r="DH5" t="s">
        <v>449</v>
      </c>
      <c r="DK5">
        <v>4</v>
      </c>
      <c r="DM5">
        <v>18.4682</v>
      </c>
      <c r="DP5" t="s">
        <v>471</v>
      </c>
      <c r="DW5">
        <v>15</v>
      </c>
      <c r="DX5">
        <f t="shared" si="17"/>
        <v>1.3612167781996868E-2</v>
      </c>
      <c r="DY5">
        <v>1.25349E-2</v>
      </c>
      <c r="EA5" t="s">
        <v>522</v>
      </c>
      <c r="EE5" t="s">
        <v>533</v>
      </c>
      <c r="EJ5">
        <v>15</v>
      </c>
      <c r="EK5">
        <f t="shared" si="18"/>
        <v>0.28030429685321451</v>
      </c>
      <c r="EL5">
        <v>0.28959499999999999</v>
      </c>
      <c r="EN5" t="s">
        <v>584</v>
      </c>
      <c r="ER5" t="s">
        <v>573</v>
      </c>
    </row>
    <row r="6" spans="1:148" x14ac:dyDescent="0.4">
      <c r="A6">
        <v>20</v>
      </c>
      <c r="C6">
        <f t="shared" si="0"/>
        <v>6.6957600000000007E-4</v>
      </c>
      <c r="D6">
        <v>4.8518200000000002E-4</v>
      </c>
      <c r="E6">
        <f t="shared" si="1"/>
        <v>5.4740800000000003E-5</v>
      </c>
      <c r="F6" s="1">
        <v>4.2200100000000003E-5</v>
      </c>
      <c r="G6">
        <f t="shared" si="2"/>
        <v>5.7983199999999997E-5</v>
      </c>
      <c r="H6" s="1">
        <v>3.9815899999999999E-5</v>
      </c>
      <c r="I6">
        <f t="shared" si="3"/>
        <v>8.5830800000000001E-7</v>
      </c>
      <c r="J6" s="1">
        <v>7.1525600000000001E-7</v>
      </c>
      <c r="AB6">
        <v>200</v>
      </c>
      <c r="AC6">
        <f t="shared" si="4"/>
        <v>1.6445119999999997E-3</v>
      </c>
      <c r="AD6">
        <v>1.6770400000000001E-3</v>
      </c>
      <c r="AE6">
        <f t="shared" si="5"/>
        <v>7.1630947616720366E-5</v>
      </c>
      <c r="AF6" s="1">
        <v>9.1314299999999994E-5</v>
      </c>
      <c r="AG6">
        <f t="shared" si="6"/>
        <v>7.0329943245518744E-5</v>
      </c>
      <c r="AH6" s="1">
        <v>7.9870200000000007E-5</v>
      </c>
      <c r="AI6" s="1">
        <f t="shared" si="7"/>
        <v>8.9909539766600827E-7</v>
      </c>
      <c r="AJ6" s="1">
        <v>4.76837E-7</v>
      </c>
      <c r="BC6">
        <v>20000</v>
      </c>
      <c r="BD6">
        <f t="shared" si="8"/>
        <v>16.7104</v>
      </c>
      <c r="BE6">
        <v>16.5732</v>
      </c>
      <c r="BF6">
        <f t="shared" si="9"/>
        <v>9.5044308067010995E-3</v>
      </c>
      <c r="BG6" s="1">
        <v>1.0137800000000001E-2</v>
      </c>
      <c r="BH6">
        <f t="shared" si="10"/>
        <v>9.4102267562931885E-3</v>
      </c>
      <c r="BI6" s="1">
        <v>1.0071800000000001E-2</v>
      </c>
      <c r="BJ6" s="1">
        <f t="shared" si="11"/>
        <v>1.5866147475920826E-6</v>
      </c>
      <c r="BK6" s="1">
        <v>1.43051E-6</v>
      </c>
      <c r="CB6">
        <v>20</v>
      </c>
      <c r="CD6">
        <f t="shared" si="12"/>
        <v>4.2763199999999992</v>
      </c>
      <c r="CE6">
        <v>4.1985799999999998</v>
      </c>
      <c r="CF6">
        <f t="shared" si="13"/>
        <v>4.1956000000000007E-3</v>
      </c>
      <c r="CG6" s="1">
        <v>4.8522900000000004E-3</v>
      </c>
      <c r="CH6">
        <f t="shared" si="14"/>
        <v>4.1121599999999993E-3</v>
      </c>
      <c r="CI6" s="1">
        <v>4.8618300000000001E-3</v>
      </c>
      <c r="CJ6">
        <f t="shared" si="15"/>
        <v>1.2397760000000002E-6</v>
      </c>
      <c r="CK6" s="1">
        <v>1.1920899999999999E-6</v>
      </c>
      <c r="DC6">
        <v>5</v>
      </c>
      <c r="DD6" s="1">
        <f t="shared" si="16"/>
        <v>2.3076416015624999E-6</v>
      </c>
      <c r="DE6" s="1">
        <v>1.1920899999999999E-6</v>
      </c>
      <c r="DH6" t="s">
        <v>477</v>
      </c>
      <c r="DK6">
        <v>5</v>
      </c>
      <c r="DM6">
        <v>70.330500000000001</v>
      </c>
      <c r="DP6" t="s">
        <v>514</v>
      </c>
      <c r="DW6">
        <v>20</v>
      </c>
      <c r="DX6">
        <f t="shared" si="17"/>
        <v>1.4982129238633662E-2</v>
      </c>
      <c r="DY6">
        <v>1.33977E-2</v>
      </c>
      <c r="EA6" t="s">
        <v>545</v>
      </c>
      <c r="EE6" t="s">
        <v>556</v>
      </c>
      <c r="EJ6">
        <v>20</v>
      </c>
      <c r="EK6">
        <f t="shared" si="18"/>
        <v>0.32366752248642433</v>
      </c>
      <c r="EL6">
        <v>0.34073300000000001</v>
      </c>
      <c r="EN6" t="s">
        <v>585</v>
      </c>
      <c r="ER6" t="s">
        <v>595</v>
      </c>
    </row>
    <row r="7" spans="1:148" x14ac:dyDescent="0.4">
      <c r="A7">
        <v>25</v>
      </c>
      <c r="C7">
        <f t="shared" si="0"/>
        <v>8.3697000000000003E-4</v>
      </c>
      <c r="D7">
        <v>5.3906400000000001E-4</v>
      </c>
      <c r="E7">
        <f t="shared" si="1"/>
        <v>6.8425999999999998E-5</v>
      </c>
      <c r="F7" s="1">
        <v>5.1498400000000001E-5</v>
      </c>
      <c r="G7">
        <f t="shared" si="2"/>
        <v>7.2478999999999995E-5</v>
      </c>
      <c r="H7" s="1">
        <v>4.9114199999999998E-5</v>
      </c>
      <c r="I7">
        <f t="shared" si="3"/>
        <v>1.0728849999999999E-6</v>
      </c>
      <c r="J7" s="1">
        <v>9.5367399999999999E-7</v>
      </c>
      <c r="AB7">
        <v>250</v>
      </c>
      <c r="AC7">
        <f t="shared" si="4"/>
        <v>2.5695499999999999E-3</v>
      </c>
      <c r="AD7">
        <v>2.9881E-3</v>
      </c>
      <c r="AE7">
        <f t="shared" si="5"/>
        <v>9.3309689287459721E-5</v>
      </c>
      <c r="AF7" s="1">
        <v>1.2898400000000001E-4</v>
      </c>
      <c r="AG7">
        <f t="shared" si="6"/>
        <v>9.1614942565860941E-5</v>
      </c>
      <c r="AH7" s="1">
        <v>1.25408E-4</v>
      </c>
      <c r="AI7" s="1">
        <f t="shared" si="7"/>
        <v>9.0918293424130925E-7</v>
      </c>
      <c r="AJ7" s="1">
        <v>7.1525600000000001E-7</v>
      </c>
      <c r="BC7">
        <v>25000</v>
      </c>
      <c r="BD7">
        <f t="shared" si="8"/>
        <v>26.11</v>
      </c>
      <c r="BE7">
        <v>26.227900000000002</v>
      </c>
      <c r="BF7">
        <f t="shared" si="9"/>
        <v>1.2148228606457574E-2</v>
      </c>
      <c r="BG7" s="1">
        <v>1.26178E-2</v>
      </c>
      <c r="BH7">
        <f t="shared" si="10"/>
        <v>1.2027820308129737E-2</v>
      </c>
      <c r="BI7" s="1">
        <v>1.23906E-2</v>
      </c>
      <c r="BJ7" s="1">
        <f t="shared" si="11"/>
        <v>1.604416011327605E-6</v>
      </c>
      <c r="BK7" s="1">
        <v>1.1920899999999999E-6</v>
      </c>
      <c r="CB7">
        <v>25</v>
      </c>
      <c r="CD7">
        <f t="shared" si="12"/>
        <v>5.3453999999999997</v>
      </c>
      <c r="CE7">
        <v>5.2858799999999997</v>
      </c>
      <c r="CF7">
        <f t="shared" si="13"/>
        <v>5.2445E-3</v>
      </c>
      <c r="CG7" s="1">
        <v>5.76138E-3</v>
      </c>
      <c r="CH7">
        <f t="shared" si="14"/>
        <v>5.1401999999999993E-3</v>
      </c>
      <c r="CI7" s="1">
        <v>5.5818600000000001E-3</v>
      </c>
      <c r="CJ7">
        <f t="shared" si="15"/>
        <v>1.5497200000000001E-6</v>
      </c>
      <c r="CK7" s="1">
        <v>1.66893E-6</v>
      </c>
      <c r="DC7">
        <v>6</v>
      </c>
      <c r="DD7" s="1">
        <f t="shared" si="16"/>
        <v>4.6152832031249999E-6</v>
      </c>
      <c r="DE7" s="1">
        <v>1.43051E-6</v>
      </c>
      <c r="DH7" t="s">
        <v>450</v>
      </c>
      <c r="DK7">
        <v>6</v>
      </c>
      <c r="DM7">
        <v>200.77799999999999</v>
      </c>
      <c r="DP7" t="s">
        <v>508</v>
      </c>
      <c r="DW7">
        <v>25</v>
      </c>
      <c r="DX7">
        <f t="shared" si="17"/>
        <v>1.6139009481126666E-2</v>
      </c>
      <c r="DY7">
        <v>1.4873300000000001E-2</v>
      </c>
      <c r="EA7" t="s">
        <v>523</v>
      </c>
      <c r="EE7" t="s">
        <v>534</v>
      </c>
      <c r="EJ7">
        <v>25</v>
      </c>
      <c r="EK7">
        <f t="shared" si="18"/>
        <v>0.36187129119429329</v>
      </c>
      <c r="EL7">
        <v>0.35346300000000003</v>
      </c>
      <c r="EN7" t="s">
        <v>564</v>
      </c>
      <c r="ER7" t="s">
        <v>574</v>
      </c>
    </row>
    <row r="8" spans="1:148" x14ac:dyDescent="0.4">
      <c r="A8">
        <v>30</v>
      </c>
      <c r="C8">
        <f t="shared" si="0"/>
        <v>1.004364E-3</v>
      </c>
      <c r="D8">
        <v>6.9689800000000005E-4</v>
      </c>
      <c r="E8">
        <f t="shared" si="1"/>
        <v>8.2111200000000001E-5</v>
      </c>
      <c r="F8" s="1">
        <v>6.07967E-5</v>
      </c>
      <c r="G8">
        <f t="shared" si="2"/>
        <v>8.6974799999999999E-5</v>
      </c>
      <c r="H8" s="1">
        <v>5.8174100000000003E-5</v>
      </c>
      <c r="I8">
        <f t="shared" si="3"/>
        <v>1.287462E-6</v>
      </c>
      <c r="J8" s="1">
        <v>7.1525600000000001E-7</v>
      </c>
      <c r="AB8">
        <v>300</v>
      </c>
      <c r="AC8">
        <f t="shared" si="4"/>
        <v>3.7001519999999995E-3</v>
      </c>
      <c r="AD8">
        <v>4.8508600000000002E-3</v>
      </c>
      <c r="AE8">
        <f t="shared" si="5"/>
        <v>1.1566898943393877E-4</v>
      </c>
      <c r="AF8" s="1">
        <v>1.78099E-4</v>
      </c>
      <c r="AG8">
        <f t="shared" si="6"/>
        <v>1.1356813964941206E-4</v>
      </c>
      <c r="AH8" s="1">
        <v>1.7452200000000001E-4</v>
      </c>
      <c r="AI8" s="1">
        <f t="shared" si="7"/>
        <v>9.1750900955572388E-7</v>
      </c>
      <c r="AJ8" s="1">
        <v>1.1920899999999999E-6</v>
      </c>
      <c r="BC8">
        <v>30000</v>
      </c>
      <c r="BD8">
        <f t="shared" si="8"/>
        <v>37.598399999999998</v>
      </c>
      <c r="BE8">
        <v>37.5062</v>
      </c>
      <c r="BF8">
        <f t="shared" si="9"/>
        <v>1.4840336810575314E-2</v>
      </c>
      <c r="BG8" s="1">
        <v>1.5121900000000001E-2</v>
      </c>
      <c r="BH8">
        <f t="shared" si="10"/>
        <v>1.4693245431259031E-2</v>
      </c>
      <c r="BI8" s="1">
        <v>1.4984600000000001E-2</v>
      </c>
      <c r="BJ8" s="1">
        <f>BJ9/(BC9^(1/20))*(BC8^(1/20))</f>
        <v>1.6191088614052561E-6</v>
      </c>
      <c r="BK8" s="1">
        <v>1.66893E-6</v>
      </c>
      <c r="CB8">
        <v>30</v>
      </c>
      <c r="CD8">
        <f t="shared" si="12"/>
        <v>6.4144800000000002</v>
      </c>
      <c r="CE8">
        <v>6.3430299999999997</v>
      </c>
      <c r="CF8">
        <f t="shared" si="13"/>
        <v>6.2933999999999993E-3</v>
      </c>
      <c r="CG8" s="1">
        <v>6.6842999999999998E-3</v>
      </c>
      <c r="CH8">
        <f t="shared" si="14"/>
        <v>6.1682399999999993E-3</v>
      </c>
      <c r="CI8" s="1">
        <v>6.5202699999999999E-3</v>
      </c>
      <c r="CJ8">
        <f t="shared" si="15"/>
        <v>1.859664E-6</v>
      </c>
      <c r="CK8" s="1">
        <v>1.66893E-6</v>
      </c>
      <c r="DC8">
        <v>7</v>
      </c>
      <c r="DD8" s="1">
        <f t="shared" si="16"/>
        <v>9.2305664062499997E-6</v>
      </c>
      <c r="DE8" s="1">
        <v>3.33786E-6</v>
      </c>
      <c r="DH8" t="s">
        <v>478</v>
      </c>
      <c r="DP8" t="s">
        <v>515</v>
      </c>
      <c r="DW8">
        <v>30</v>
      </c>
      <c r="DX8">
        <f t="shared" si="17"/>
        <v>1.7150256723238659E-2</v>
      </c>
      <c r="DY8">
        <v>1.47645E-2</v>
      </c>
      <c r="EA8" t="s">
        <v>546</v>
      </c>
      <c r="EE8" t="s">
        <v>557</v>
      </c>
      <c r="EJ8">
        <v>30</v>
      </c>
      <c r="EK8">
        <f t="shared" si="18"/>
        <v>0.39641013820127002</v>
      </c>
      <c r="EL8">
        <v>0.421593</v>
      </c>
      <c r="EN8" t="s">
        <v>586</v>
      </c>
      <c r="ER8" t="s">
        <v>596</v>
      </c>
    </row>
    <row r="9" spans="1:148" x14ac:dyDescent="0.4">
      <c r="A9">
        <v>35</v>
      </c>
      <c r="C9">
        <f t="shared" si="0"/>
        <v>1.1717580000000002E-3</v>
      </c>
      <c r="D9">
        <v>8.0132499999999998E-4</v>
      </c>
      <c r="E9">
        <f t="shared" si="1"/>
        <v>9.5796400000000003E-5</v>
      </c>
      <c r="F9" s="1">
        <v>7.1525600000000005E-5</v>
      </c>
      <c r="G9">
        <f t="shared" si="2"/>
        <v>1.0147059999999999E-4</v>
      </c>
      <c r="H9" s="1">
        <v>6.7472500000000002E-5</v>
      </c>
      <c r="I9">
        <f t="shared" si="3"/>
        <v>1.502039E-6</v>
      </c>
      <c r="J9" s="1">
        <v>1.1920899999999999E-6</v>
      </c>
      <c r="AB9">
        <v>350</v>
      </c>
      <c r="AC9">
        <f t="shared" si="4"/>
        <v>5.0363179999999997E-3</v>
      </c>
      <c r="AD9">
        <v>7.1327700000000001E-3</v>
      </c>
      <c r="AE9">
        <f t="shared" si="5"/>
        <v>1.3859424215800932E-4</v>
      </c>
      <c r="AF9" s="1">
        <v>2.3007400000000001E-4</v>
      </c>
      <c r="AG9">
        <f t="shared" si="6"/>
        <v>1.3607701013930491E-4</v>
      </c>
      <c r="AH9" s="1">
        <v>2.10285E-4</v>
      </c>
      <c r="AI9" s="1">
        <f t="shared" si="7"/>
        <v>9.2460806439360746E-7</v>
      </c>
      <c r="AJ9" s="1">
        <v>1.43051E-6</v>
      </c>
      <c r="BC9">
        <v>35000</v>
      </c>
      <c r="BD9">
        <f t="shared" si="8"/>
        <v>51.175599999999996</v>
      </c>
      <c r="BE9">
        <v>52.121699999999997</v>
      </c>
      <c r="BF9">
        <f t="shared" si="9"/>
        <v>1.7572619957548673E-2</v>
      </c>
      <c r="BG9" s="1">
        <v>1.7940299999999999E-2</v>
      </c>
      <c r="BH9">
        <f t="shared" si="10"/>
        <v>1.7398447299559219E-2</v>
      </c>
      <c r="BI9" s="1">
        <v>1.79267E-2</v>
      </c>
      <c r="BJ9" s="1">
        <f t="shared" si="11"/>
        <v>1.6316364142422412E-6</v>
      </c>
      <c r="BK9" s="1">
        <v>1.90735E-6</v>
      </c>
      <c r="CB9">
        <v>35</v>
      </c>
      <c r="CD9">
        <f t="shared" si="12"/>
        <v>7.4835600000000007</v>
      </c>
      <c r="CE9">
        <v>7.5034599999999996</v>
      </c>
      <c r="CF9">
        <f t="shared" si="13"/>
        <v>7.3422999999999995E-3</v>
      </c>
      <c r="CG9" s="1">
        <v>7.54523E-3</v>
      </c>
      <c r="CH9">
        <f t="shared" si="14"/>
        <v>7.1962799999999993E-3</v>
      </c>
      <c r="CI9" s="1">
        <v>7.4441400000000001E-3</v>
      </c>
      <c r="CJ9">
        <f t="shared" si="15"/>
        <v>2.1696080000000002E-6</v>
      </c>
      <c r="CK9" s="1">
        <v>1.90735E-6</v>
      </c>
      <c r="DC9">
        <v>8</v>
      </c>
      <c r="DD9" s="1">
        <f t="shared" si="16"/>
        <v>1.8461132812499999E-5</v>
      </c>
      <c r="DE9" s="1">
        <v>7.8678100000000001E-6</v>
      </c>
      <c r="DH9" t="s">
        <v>451</v>
      </c>
      <c r="DP9" t="s">
        <v>509</v>
      </c>
      <c r="DW9">
        <v>35</v>
      </c>
      <c r="DX9">
        <f>DX10/DW10^(1/3)*DW9^(1/3)</f>
        <v>1.8054531442683219E-2</v>
      </c>
      <c r="DY9">
        <v>1.67992E-2</v>
      </c>
      <c r="EA9" t="s">
        <v>524</v>
      </c>
      <c r="EE9" t="s">
        <v>535</v>
      </c>
      <c r="EJ9">
        <v>35</v>
      </c>
      <c r="EK9">
        <f>EK10/EJ10^(0.5)*EJ9^(0.5)</f>
        <v>0.42817188598374251</v>
      </c>
      <c r="EL9">
        <v>0.43076100000000001</v>
      </c>
      <c r="EN9" t="s">
        <v>565</v>
      </c>
      <c r="ER9" t="s">
        <v>575</v>
      </c>
    </row>
    <row r="10" spans="1:148" x14ac:dyDescent="0.4">
      <c r="A10">
        <v>40</v>
      </c>
      <c r="C10">
        <f t="shared" si="0"/>
        <v>1.3391520000000001E-3</v>
      </c>
      <c r="D10">
        <v>9.5200500000000002E-4</v>
      </c>
      <c r="E10">
        <f t="shared" si="1"/>
        <v>1.0948160000000001E-4</v>
      </c>
      <c r="F10" s="1">
        <v>9.6559500000000003E-5</v>
      </c>
      <c r="G10">
        <f t="shared" si="2"/>
        <v>1.1596639999999999E-4</v>
      </c>
      <c r="H10">
        <v>1.09434E-4</v>
      </c>
      <c r="I10">
        <f t="shared" si="3"/>
        <v>1.716616E-6</v>
      </c>
      <c r="J10" s="1">
        <v>1.43051E-6</v>
      </c>
      <c r="AB10">
        <v>400</v>
      </c>
      <c r="AC10">
        <f t="shared" si="4"/>
        <v>6.5780479999999987E-3</v>
      </c>
      <c r="AD10">
        <v>7.9574599999999995E-3</v>
      </c>
      <c r="AE10">
        <f t="shared" si="5"/>
        <v>1.6200399237350518E-4</v>
      </c>
      <c r="AF10" s="1">
        <v>1.95503E-4</v>
      </c>
      <c r="AG10">
        <f t="shared" si="6"/>
        <v>1.5906157838565998E-4</v>
      </c>
      <c r="AH10">
        <v>1.6546200000000001E-4</v>
      </c>
      <c r="AI10" s="1">
        <f t="shared" si="7"/>
        <v>9.3080192839083292E-7</v>
      </c>
      <c r="AJ10" s="1">
        <v>9.5367399999999999E-7</v>
      </c>
      <c r="BC10">
        <v>40000</v>
      </c>
      <c r="BD10">
        <f t="shared" si="8"/>
        <v>66.8416</v>
      </c>
      <c r="BE10">
        <v>67.437799999999996</v>
      </c>
      <c r="BF10">
        <f t="shared" si="9"/>
        <v>2.0339295843070086E-2</v>
      </c>
      <c r="BG10" s="1">
        <v>2.0535500000000002E-2</v>
      </c>
      <c r="BH10">
        <f t="shared" si="10"/>
        <v>2.0137701019578801E-2</v>
      </c>
      <c r="BI10">
        <v>2.0270300000000002E-2</v>
      </c>
      <c r="BJ10" s="1">
        <f>BJ11/(BC11^(1/20))*(BC10^(1/20))</f>
        <v>1.6425665958315238E-6</v>
      </c>
      <c r="BK10" s="1">
        <v>1.66893E-6</v>
      </c>
      <c r="CB10">
        <v>40</v>
      </c>
      <c r="CD10">
        <f t="shared" si="12"/>
        <v>8.5526400000000002</v>
      </c>
      <c r="CE10">
        <v>8.6380400000000002</v>
      </c>
      <c r="CF10">
        <f t="shared" si="13"/>
        <v>8.3911999999999997E-3</v>
      </c>
      <c r="CG10" s="1">
        <v>8.4707700000000007E-3</v>
      </c>
      <c r="CH10">
        <f t="shared" si="14"/>
        <v>8.2243199999999985E-3</v>
      </c>
      <c r="CI10">
        <v>8.5294199999999994E-3</v>
      </c>
      <c r="CJ10">
        <f t="shared" si="15"/>
        <v>2.4795520000000003E-6</v>
      </c>
      <c r="CK10" s="1">
        <v>2.3841900000000001E-6</v>
      </c>
      <c r="DC10">
        <v>9</v>
      </c>
      <c r="DD10" s="1">
        <f t="shared" si="16"/>
        <v>3.6922265624999999E-5</v>
      </c>
      <c r="DE10" s="1">
        <v>1.6212500000000001E-5</v>
      </c>
      <c r="DH10" t="s">
        <v>479</v>
      </c>
      <c r="DP10" t="s">
        <v>516</v>
      </c>
      <c r="DW10">
        <v>40</v>
      </c>
      <c r="DX10">
        <f>DY10</f>
        <v>1.8876299999999999E-2</v>
      </c>
      <c r="DY10">
        <v>1.8876299999999999E-2</v>
      </c>
      <c r="EA10" t="s">
        <v>547</v>
      </c>
      <c r="EE10" t="s">
        <v>558</v>
      </c>
      <c r="EJ10">
        <v>40</v>
      </c>
      <c r="EK10">
        <f>EL10</f>
        <v>0.457735</v>
      </c>
      <c r="EL10">
        <v>0.457735</v>
      </c>
      <c r="EN10" t="s">
        <v>587</v>
      </c>
      <c r="ER10" t="s">
        <v>597</v>
      </c>
    </row>
    <row r="11" spans="1:148" x14ac:dyDescent="0.4">
      <c r="A11">
        <v>45</v>
      </c>
      <c r="C11">
        <f>C12/A12*A11</f>
        <v>1.5065460000000001E-3</v>
      </c>
      <c r="D11">
        <v>1.0497600000000001E-3</v>
      </c>
      <c r="E11">
        <f>E12/A12*A11</f>
        <v>1.2316679999999999E-4</v>
      </c>
      <c r="F11">
        <v>1.46627E-4</v>
      </c>
      <c r="G11">
        <f>G12/A12*A11</f>
        <v>1.3046219999999999E-4</v>
      </c>
      <c r="H11">
        <v>1.04904E-4</v>
      </c>
      <c r="I11">
        <f>I12/A12*A11</f>
        <v>1.9311929999999998E-6</v>
      </c>
      <c r="J11" s="1">
        <v>1.43051E-6</v>
      </c>
      <c r="AB11">
        <v>450</v>
      </c>
      <c r="AC11">
        <f>AC12/AB12/AB12*AB11*AB11</f>
        <v>8.3253419999999995E-3</v>
      </c>
      <c r="AD11">
        <v>9.4432800000000001E-3</v>
      </c>
      <c r="AE11">
        <f>AE12/AB12*AB11/LOG10(AB12)*LOG10(AB11)</f>
        <v>1.8583733616419539E-4</v>
      </c>
      <c r="AF11">
        <v>1.89304E-4</v>
      </c>
      <c r="AG11">
        <f>AG12/AB12*AB11/LOG10(AB12)*LOG10(AB11)</f>
        <v>1.82462046645819E-4</v>
      </c>
      <c r="AH11">
        <v>1.8501300000000001E-4</v>
      </c>
      <c r="AI11" s="1">
        <f t="shared" si="7"/>
        <v>9.3629973504618228E-7</v>
      </c>
      <c r="AJ11" s="1">
        <v>7.1525600000000001E-7</v>
      </c>
      <c r="BC11">
        <v>45000</v>
      </c>
      <c r="BD11">
        <f>BD12/BC12/BC12*BC11*BC11</f>
        <v>84.596400000000003</v>
      </c>
      <c r="BE11">
        <v>83.939099999999996</v>
      </c>
      <c r="BF11">
        <f>BF12/BC12*BC11/LOG10(BC12)*LOG10(BC11)</f>
        <v>2.3136041116648465E-2</v>
      </c>
      <c r="BG11">
        <v>2.3330699999999999E-2</v>
      </c>
      <c r="BH11">
        <f>BH12/BC12*BC11/LOG10(BC12)*LOG10(BC11)</f>
        <v>2.2906726092117417E-2</v>
      </c>
      <c r="BI11">
        <v>2.3162800000000001E-2</v>
      </c>
      <c r="BJ11" s="1">
        <f t="shared" si="11"/>
        <v>1.6522684596620262E-6</v>
      </c>
      <c r="BK11" s="1">
        <v>1.43051E-6</v>
      </c>
      <c r="CB11">
        <v>45</v>
      </c>
      <c r="CD11">
        <f>CD12/CB12*CB11</f>
        <v>9.6217199999999998</v>
      </c>
      <c r="CE11">
        <v>9.7784300000000002</v>
      </c>
      <c r="CF11">
        <f>CF12/CB12*CB11</f>
        <v>9.4400999999999999E-3</v>
      </c>
      <c r="CG11">
        <v>9.4711799999999992E-3</v>
      </c>
      <c r="CH11">
        <f>CH12/CB12*CB11</f>
        <v>9.2523599999999994E-3</v>
      </c>
      <c r="CI11">
        <v>9.2263199999999997E-3</v>
      </c>
      <c r="CJ11">
        <f>CJ12/CB12*CB11</f>
        <v>2.789496E-6</v>
      </c>
      <c r="CK11" s="1">
        <v>2.8610199999999999E-6</v>
      </c>
      <c r="DC11">
        <v>10</v>
      </c>
      <c r="DD11" s="1">
        <f t="shared" si="16"/>
        <v>7.3844531249999998E-5</v>
      </c>
      <c r="DE11" s="1">
        <v>3.67165E-5</v>
      </c>
      <c r="DH11" t="s">
        <v>452</v>
      </c>
      <c r="DP11" t="s">
        <v>510</v>
      </c>
      <c r="DW11">
        <v>45</v>
      </c>
      <c r="DX11">
        <f>DX10/DW10^(1/3)*DW11^(1/3)</f>
        <v>1.9632143134537323E-2</v>
      </c>
      <c r="DY11">
        <v>2.09827E-2</v>
      </c>
      <c r="EA11" t="s">
        <v>525</v>
      </c>
      <c r="EE11" t="s">
        <v>536</v>
      </c>
      <c r="EJ11">
        <v>45</v>
      </c>
      <c r="EK11">
        <f>EK10/EJ10^(0.5)*EJ11^(0.5)</f>
        <v>0.48550128372963647</v>
      </c>
      <c r="EL11">
        <v>0.51289899999999999</v>
      </c>
      <c r="EN11" t="s">
        <v>566</v>
      </c>
      <c r="ER11" t="s">
        <v>576</v>
      </c>
    </row>
    <row r="12" spans="1:148" x14ac:dyDescent="0.4">
      <c r="A12">
        <v>50</v>
      </c>
      <c r="C12">
        <f>D12</f>
        <v>1.6739400000000001E-3</v>
      </c>
      <c r="D12">
        <v>1.6739400000000001E-3</v>
      </c>
      <c r="E12">
        <f>F12</f>
        <v>1.36852E-4</v>
      </c>
      <c r="F12">
        <v>1.36852E-4</v>
      </c>
      <c r="G12">
        <f>H12</f>
        <v>1.4495799999999999E-4</v>
      </c>
      <c r="H12">
        <v>1.4495799999999999E-4</v>
      </c>
      <c r="I12">
        <f>J12</f>
        <v>2.1457699999999999E-6</v>
      </c>
      <c r="J12" s="1">
        <v>2.1457699999999999E-6</v>
      </c>
      <c r="AB12">
        <v>500</v>
      </c>
      <c r="AC12">
        <f>AD12</f>
        <v>1.0278199999999999E-2</v>
      </c>
      <c r="AD12">
        <v>1.0278199999999999E-2</v>
      </c>
      <c r="AE12">
        <f>AF12</f>
        <v>2.1004699999999999E-4</v>
      </c>
      <c r="AF12">
        <v>2.1004699999999999E-4</v>
      </c>
      <c r="AG12">
        <f>AH12</f>
        <v>2.0623199999999999E-4</v>
      </c>
      <c r="AH12">
        <v>2.0623199999999999E-4</v>
      </c>
      <c r="AI12" s="1">
        <f t="shared" si="7"/>
        <v>9.4124520117520913E-7</v>
      </c>
      <c r="AJ12" s="1">
        <v>7.1525600000000001E-7</v>
      </c>
      <c r="BC12">
        <v>50000</v>
      </c>
      <c r="BD12">
        <f>BE12</f>
        <v>104.44</v>
      </c>
      <c r="BE12">
        <v>104.44</v>
      </c>
      <c r="BF12">
        <f>BG12</f>
        <v>2.59595E-2</v>
      </c>
      <c r="BG12">
        <v>2.59595E-2</v>
      </c>
      <c r="BH12">
        <f>BI12</f>
        <v>2.5702200000000001E-2</v>
      </c>
      <c r="BI12">
        <v>2.5702200000000001E-2</v>
      </c>
      <c r="BJ12" s="1">
        <f>BJ13/(BC13^(1/20))*(BC12^(1/20))</f>
        <v>1.6609956197769598E-6</v>
      </c>
      <c r="BK12" s="1">
        <v>1.43051E-6</v>
      </c>
      <c r="CB12">
        <v>50</v>
      </c>
      <c r="CD12">
        <f>CE12</f>
        <v>10.690799999999999</v>
      </c>
      <c r="CE12">
        <v>10.690799999999999</v>
      </c>
      <c r="CF12">
        <f>CG12</f>
        <v>1.0489E-2</v>
      </c>
      <c r="CG12">
        <v>1.0489E-2</v>
      </c>
      <c r="CH12">
        <f>CI12</f>
        <v>1.02804E-2</v>
      </c>
      <c r="CI12">
        <v>1.02804E-2</v>
      </c>
      <c r="CJ12">
        <f>CK12</f>
        <v>3.0994400000000002E-6</v>
      </c>
      <c r="CK12" s="1">
        <v>3.0994400000000002E-6</v>
      </c>
      <c r="DC12">
        <v>11</v>
      </c>
      <c r="DD12" s="1">
        <f t="shared" si="16"/>
        <v>1.476890625E-4</v>
      </c>
      <c r="DE12" s="1">
        <v>8.0585499999999996E-5</v>
      </c>
      <c r="DH12" t="s">
        <v>480</v>
      </c>
      <c r="DP12" t="s">
        <v>517</v>
      </c>
      <c r="DW12">
        <v>50</v>
      </c>
      <c r="DX12">
        <f t="shared" ref="DX12:DX21" si="19">DX11/DW11^(1/3)*DW12^(1/3)</f>
        <v>2.033387776972442E-2</v>
      </c>
      <c r="DY12">
        <v>1.99177E-2</v>
      </c>
      <c r="EA12" t="s">
        <v>548</v>
      </c>
      <c r="EE12" t="s">
        <v>559</v>
      </c>
      <c r="EJ12">
        <v>50</v>
      </c>
      <c r="EK12">
        <f t="shared" ref="EK12:EK21" si="20">EK11/EJ11^(0.5)*EJ12^(0.5)</f>
        <v>0.51176328784043312</v>
      </c>
      <c r="EL12">
        <v>0.50794600000000001</v>
      </c>
      <c r="EN12" t="s">
        <v>588</v>
      </c>
      <c r="ER12" t="s">
        <v>598</v>
      </c>
    </row>
    <row r="13" spans="1:148" x14ac:dyDescent="0.4">
      <c r="A13">
        <v>55</v>
      </c>
      <c r="C13">
        <f t="shared" ref="C13:C22" si="21">C12/A12*A13</f>
        <v>1.841334E-3</v>
      </c>
      <c r="D13">
        <v>1.8301000000000001E-3</v>
      </c>
      <c r="E13">
        <f>E12/A12*A13</f>
        <v>1.505372E-4</v>
      </c>
      <c r="F13">
        <v>1.4758100000000001E-4</v>
      </c>
      <c r="G13">
        <f>G12/A12*A13</f>
        <v>1.5945379999999999E-4</v>
      </c>
      <c r="H13">
        <v>1.6593900000000001E-4</v>
      </c>
      <c r="I13">
        <f>I12/A12*A13</f>
        <v>2.3603469999999999E-6</v>
      </c>
      <c r="J13" s="1">
        <v>2.1457699999999999E-6</v>
      </c>
      <c r="AB13">
        <v>550</v>
      </c>
      <c r="AC13">
        <f>AC12/AB12/AB12*AB13*AB13</f>
        <v>1.2436621999999998E-2</v>
      </c>
      <c r="AD13">
        <v>1.2711500000000001E-2</v>
      </c>
      <c r="AE13">
        <f>AE12/AB12*AB13/LOG10(AB12)*LOG10(AB13)</f>
        <v>2.3459521854893081E-4</v>
      </c>
      <c r="AF13">
        <v>3.3664699999999998E-4</v>
      </c>
      <c r="AG13">
        <f>AG12/AB12*AB13/LOG10(AB12)*LOG10(AB13)</f>
        <v>2.3033435903289787E-4</v>
      </c>
      <c r="AH13">
        <v>3.6859499999999999E-4</v>
      </c>
      <c r="AI13" s="1">
        <f t="shared" si="7"/>
        <v>9.4574141851637151E-7</v>
      </c>
      <c r="AJ13" s="1">
        <v>1.1920899999999999E-6</v>
      </c>
      <c r="BC13">
        <v>55000</v>
      </c>
      <c r="BD13">
        <f>BD12/BC12/BC12*BC13*BC13</f>
        <v>126.37240000000001</v>
      </c>
      <c r="BF13">
        <f>BF12/BC12*BC13/LOG10(BC12)*LOG10(BC13)</f>
        <v>2.8806991667708188E-2</v>
      </c>
      <c r="BG13">
        <v>2.8844600000000001E-2</v>
      </c>
      <c r="BH13">
        <f>BH12/BC12*BC13/LOG10(BC12)*LOG10(BC13)</f>
        <v>2.852146848906063E-2</v>
      </c>
      <c r="BI13">
        <v>2.8552299999999999E-2</v>
      </c>
      <c r="BJ13" s="1">
        <f>BK13</f>
        <v>1.66893E-6</v>
      </c>
      <c r="BK13" s="1">
        <v>1.66893E-6</v>
      </c>
      <c r="CB13">
        <v>55</v>
      </c>
      <c r="CD13">
        <f t="shared" ref="CD13:CD22" si="22">CD12/CB12*CB13</f>
        <v>11.759879999999999</v>
      </c>
      <c r="CE13">
        <v>12.0723</v>
      </c>
      <c r="CF13">
        <f>CF12/CB12*CB13</f>
        <v>1.15379E-2</v>
      </c>
      <c r="CG13">
        <v>1.58739E-2</v>
      </c>
      <c r="CH13">
        <f>CH12/CB12*CB13</f>
        <v>1.1308439999999999E-2</v>
      </c>
      <c r="CI13">
        <v>1.5152499999999999E-2</v>
      </c>
      <c r="CJ13">
        <f>CJ12/CB12*CB13</f>
        <v>3.4093840000000003E-6</v>
      </c>
      <c r="CK13" s="1">
        <v>4.5299499999999997E-6</v>
      </c>
      <c r="DC13">
        <v>12</v>
      </c>
      <c r="DD13" s="1">
        <f t="shared" si="16"/>
        <v>2.9537812499999999E-4</v>
      </c>
      <c r="DE13">
        <v>1.92881E-4</v>
      </c>
      <c r="DH13" t="s">
        <v>453</v>
      </c>
      <c r="DW13">
        <v>55</v>
      </c>
      <c r="DX13">
        <f t="shared" si="19"/>
        <v>2.0990257691806784E-2</v>
      </c>
      <c r="DY13">
        <v>2.13163E-2</v>
      </c>
      <c r="EA13" t="s">
        <v>526</v>
      </c>
      <c r="EE13" t="s">
        <v>537</v>
      </c>
      <c r="EJ13">
        <v>55</v>
      </c>
      <c r="EK13">
        <f t="shared" si="20"/>
        <v>0.53674186445569438</v>
      </c>
      <c r="EL13">
        <v>0.57227799999999995</v>
      </c>
      <c r="EN13" t="s">
        <v>567</v>
      </c>
      <c r="ER13" t="s">
        <v>577</v>
      </c>
    </row>
    <row r="14" spans="1:148" x14ac:dyDescent="0.4">
      <c r="A14">
        <v>60</v>
      </c>
      <c r="C14">
        <f t="shared" si="21"/>
        <v>2.008728E-3</v>
      </c>
      <c r="D14">
        <v>1.9908E-3</v>
      </c>
      <c r="E14">
        <f t="shared" ref="E14:E22" si="23">E13/A13*A14</f>
        <v>1.642224E-4</v>
      </c>
      <c r="F14">
        <v>1.6164799999999999E-4</v>
      </c>
      <c r="G14">
        <f t="shared" ref="G14:G22" si="24">G13/A13*A14</f>
        <v>1.739496E-4</v>
      </c>
      <c r="H14">
        <v>1.68324E-4</v>
      </c>
      <c r="I14">
        <f t="shared" ref="I14:I22" si="25">I13/A13*A14</f>
        <v>2.5749239999999999E-6</v>
      </c>
      <c r="J14" s="1">
        <v>2.3841900000000001E-6</v>
      </c>
      <c r="AB14">
        <v>600</v>
      </c>
      <c r="AC14">
        <f t="shared" ref="AC14:AC22" si="26">AC13/AB13/AB13*AB14*AB14</f>
        <v>1.4800607999999998E-2</v>
      </c>
      <c r="AD14">
        <v>1.7914099999999999E-2</v>
      </c>
      <c r="AE14">
        <f t="shared" ref="AE14:AE22" si="27">AE13/AB13*AB14/LOG10(AB13)*LOG10(AB14)</f>
        <v>2.5945112457797408E-4</v>
      </c>
      <c r="AF14">
        <v>3.6764099999999999E-4</v>
      </c>
      <c r="AG14">
        <f t="shared" ref="AG14:AG22" si="28">AG13/AB13*AB14/LOG10(AB13)*LOG10(AB14)</f>
        <v>2.5473881714075785E-4</v>
      </c>
      <c r="AH14">
        <v>3.6931000000000003E-4</v>
      </c>
      <c r="AI14" s="1">
        <f t="shared" si="7"/>
        <v>9.4986489490148417E-7</v>
      </c>
      <c r="AJ14" s="1">
        <v>1.90735E-6</v>
      </c>
      <c r="BC14">
        <v>60000</v>
      </c>
      <c r="BD14">
        <f t="shared" ref="BD14:BD22" si="29">BD13/BC13/BC13*BC14*BC14</f>
        <v>150.39360000000002</v>
      </c>
      <c r="BF14">
        <f t="shared" ref="BF14:BF22" si="30">BF13/BC13*BC14/LOG10(BC13)*LOG10(BC14)</f>
        <v>3.1676324965652446E-2</v>
      </c>
      <c r="BG14">
        <v>3.1135099999999999E-2</v>
      </c>
      <c r="BH14">
        <f t="shared" ref="BH14:BH22" si="31">BH13/BC13*BC14/LOG10(BC13)*LOG10(BC14)</f>
        <v>3.1362362123006707E-2</v>
      </c>
      <c r="BI14">
        <v>3.2229899999999999E-2</v>
      </c>
      <c r="BJ14" s="1">
        <f>BJ13/(BC13^(1/20))*(BC14^(1/20))</f>
        <v>1.676206612093612E-6</v>
      </c>
      <c r="BK14" s="1">
        <v>1.66893E-6</v>
      </c>
      <c r="CB14">
        <v>60</v>
      </c>
      <c r="CD14">
        <f t="shared" si="22"/>
        <v>12.828959999999999</v>
      </c>
      <c r="CE14">
        <v>13.026400000000001</v>
      </c>
      <c r="CF14">
        <f t="shared" ref="CF14:CF22" si="32">CF13/CB13*CB14</f>
        <v>1.25868E-2</v>
      </c>
      <c r="CG14">
        <v>1.2085E-2</v>
      </c>
      <c r="CH14">
        <f t="shared" ref="CH14:CH22" si="33">CH13/CB13*CB14</f>
        <v>1.233648E-2</v>
      </c>
      <c r="CI14">
        <v>1.17903E-2</v>
      </c>
      <c r="CJ14">
        <f t="shared" ref="CJ14:CJ22" si="34">CJ13/CB13*CB14</f>
        <v>3.719328E-6</v>
      </c>
      <c r="CK14" s="1">
        <v>3.33786E-6</v>
      </c>
      <c r="DC14">
        <v>13</v>
      </c>
      <c r="DD14" s="1">
        <f t="shared" si="16"/>
        <v>5.9075624999999998E-4</v>
      </c>
      <c r="DE14">
        <v>3.8075400000000002E-4</v>
      </c>
      <c r="DH14" t="s">
        <v>481</v>
      </c>
      <c r="DW14">
        <v>60</v>
      </c>
      <c r="DX14">
        <f t="shared" si="19"/>
        <v>2.1607969456709456E-2</v>
      </c>
      <c r="DY14">
        <v>2.1231699999999999E-2</v>
      </c>
      <c r="EA14" t="s">
        <v>549</v>
      </c>
      <c r="EE14" t="s">
        <v>560</v>
      </c>
      <c r="EJ14">
        <v>60</v>
      </c>
      <c r="EK14">
        <f t="shared" si="20"/>
        <v>0.56060859370642901</v>
      </c>
      <c r="EL14">
        <v>0.63371900000000003</v>
      </c>
      <c r="EN14" t="s">
        <v>589</v>
      </c>
      <c r="ER14" t="s">
        <v>599</v>
      </c>
    </row>
    <row r="15" spans="1:148" x14ac:dyDescent="0.4">
      <c r="A15">
        <v>65</v>
      </c>
      <c r="C15">
        <f t="shared" si="21"/>
        <v>2.176122E-3</v>
      </c>
      <c r="D15">
        <v>2.1562600000000001E-3</v>
      </c>
      <c r="E15">
        <f t="shared" si="23"/>
        <v>1.779076E-4</v>
      </c>
      <c r="F15">
        <v>1.7166100000000001E-4</v>
      </c>
      <c r="G15">
        <f t="shared" si="24"/>
        <v>1.884454E-4</v>
      </c>
      <c r="H15">
        <v>1.95026E-4</v>
      </c>
      <c r="I15">
        <f t="shared" si="25"/>
        <v>2.789501E-6</v>
      </c>
      <c r="J15" s="1">
        <v>2.3841900000000001E-6</v>
      </c>
      <c r="AB15">
        <v>650</v>
      </c>
      <c r="AC15">
        <f t="shared" si="26"/>
        <v>1.7370157999999997E-2</v>
      </c>
      <c r="AD15">
        <v>2.1499899999999999E-2</v>
      </c>
      <c r="AE15">
        <f t="shared" si="27"/>
        <v>2.8458901511895543E-4</v>
      </c>
      <c r="AF15">
        <v>2.7585000000000001E-4</v>
      </c>
      <c r="AG15">
        <f t="shared" si="28"/>
        <v>2.7942013818817895E-4</v>
      </c>
      <c r="AH15">
        <v>2.8753300000000003E-4</v>
      </c>
      <c r="AI15" s="1">
        <f>AJ15</f>
        <v>9.5367399999999999E-7</v>
      </c>
      <c r="AJ15" s="1">
        <v>9.5367399999999999E-7</v>
      </c>
      <c r="BC15">
        <v>65000</v>
      </c>
      <c r="BD15">
        <f t="shared" si="29"/>
        <v>176.50360000000006</v>
      </c>
      <c r="BF15">
        <f t="shared" si="30"/>
        <v>3.4565675332343858E-2</v>
      </c>
      <c r="BG15">
        <v>3.4427600000000003E-2</v>
      </c>
      <c r="BH15">
        <f t="shared" si="31"/>
        <v>3.4223074424660285E-2</v>
      </c>
      <c r="BI15">
        <v>3.47219E-2</v>
      </c>
      <c r="BJ15" s="1">
        <f t="shared" ref="BJ15:BJ22" si="35">BJ14/(BC14^(1/20))*(BC15^(1/20))</f>
        <v>1.6829284597864396E-6</v>
      </c>
      <c r="BK15" s="1">
        <v>1.66893E-6</v>
      </c>
      <c r="CB15">
        <v>65</v>
      </c>
      <c r="CD15">
        <f t="shared" si="22"/>
        <v>13.898039999999998</v>
      </c>
      <c r="CE15">
        <v>14.1075</v>
      </c>
      <c r="CF15">
        <f t="shared" si="32"/>
        <v>1.3635700000000001E-2</v>
      </c>
      <c r="CG15">
        <v>1.38917E-2</v>
      </c>
      <c r="CH15">
        <f t="shared" si="33"/>
        <v>1.336452E-2</v>
      </c>
      <c r="CI15">
        <v>1.29757E-2</v>
      </c>
      <c r="CJ15">
        <f t="shared" si="34"/>
        <v>4.0292719999999998E-6</v>
      </c>
      <c r="CK15" s="1">
        <v>4.0531199999999999E-6</v>
      </c>
      <c r="DC15">
        <v>14</v>
      </c>
      <c r="DD15" s="1">
        <f t="shared" si="16"/>
        <v>1.1815125E-3</v>
      </c>
      <c r="DE15">
        <v>8.2802799999999997E-4</v>
      </c>
      <c r="DH15" t="s">
        <v>454</v>
      </c>
      <c r="DW15">
        <v>65</v>
      </c>
      <c r="DX15">
        <f t="shared" si="19"/>
        <v>2.2192249482911659E-2</v>
      </c>
      <c r="DY15">
        <v>2.0315400000000001E-2</v>
      </c>
      <c r="EA15" t="s">
        <v>527</v>
      </c>
      <c r="EE15" t="s">
        <v>538</v>
      </c>
      <c r="EJ15">
        <v>65</v>
      </c>
      <c r="EK15">
        <f t="shared" si="20"/>
        <v>0.58349992426359831</v>
      </c>
      <c r="EL15">
        <v>0.62618499999999999</v>
      </c>
      <c r="EN15" t="s">
        <v>568</v>
      </c>
      <c r="ER15" t="s">
        <v>578</v>
      </c>
    </row>
    <row r="16" spans="1:148" x14ac:dyDescent="0.4">
      <c r="A16">
        <v>70</v>
      </c>
      <c r="C16">
        <f t="shared" si="21"/>
        <v>2.3435160000000003E-3</v>
      </c>
      <c r="D16">
        <v>2.32482E-3</v>
      </c>
      <c r="E16">
        <f t="shared" si="23"/>
        <v>1.9159280000000001E-4</v>
      </c>
      <c r="F16">
        <v>1.86682E-4</v>
      </c>
      <c r="G16">
        <f t="shared" si="24"/>
        <v>2.0294119999999998E-4</v>
      </c>
      <c r="H16">
        <v>1.95026E-4</v>
      </c>
      <c r="I16">
        <f t="shared" si="25"/>
        <v>3.004078E-6</v>
      </c>
      <c r="J16" s="1">
        <v>2.6226000000000001E-6</v>
      </c>
      <c r="AB16">
        <v>700</v>
      </c>
      <c r="AC16">
        <f t="shared" si="26"/>
        <v>2.0145271999999992E-2</v>
      </c>
      <c r="AD16">
        <v>2.03331E-2</v>
      </c>
      <c r="AE16">
        <f t="shared" si="27"/>
        <v>3.0998715431113138E-4</v>
      </c>
      <c r="AF16">
        <v>3.9529799999999998E-4</v>
      </c>
      <c r="AG16">
        <f t="shared" si="28"/>
        <v>3.0435698109419919E-4</v>
      </c>
      <c r="AH16">
        <v>3.8528400000000001E-4</v>
      </c>
      <c r="AI16" s="1">
        <f t="shared" ref="AI14:AI22" si="36">AI15/(AC15^(1/20))*(AC16^(1/20))</f>
        <v>9.6076773728223047E-7</v>
      </c>
      <c r="AJ16" s="1">
        <v>9.5367399999999999E-7</v>
      </c>
      <c r="BC16">
        <v>70000</v>
      </c>
      <c r="BD16">
        <f t="shared" si="29"/>
        <v>204.70240000000004</v>
      </c>
      <c r="BF16">
        <f t="shared" si="30"/>
        <v>3.7473499817016129E-2</v>
      </c>
      <c r="BG16">
        <v>3.67725E-2</v>
      </c>
      <c r="BH16">
        <f t="shared" si="31"/>
        <v>3.7102077736355189E-2</v>
      </c>
      <c r="BI16">
        <v>4.0165199999999998E-2</v>
      </c>
      <c r="BJ16" s="1">
        <f t="shared" si="35"/>
        <v>1.6891759481273121E-6</v>
      </c>
      <c r="BK16" s="1">
        <v>2.3841900000000001E-6</v>
      </c>
      <c r="CB16">
        <v>70</v>
      </c>
      <c r="CD16">
        <f t="shared" si="22"/>
        <v>14.967119999999998</v>
      </c>
      <c r="CE16">
        <v>14.959</v>
      </c>
      <c r="CF16">
        <f t="shared" si="32"/>
        <v>1.4684600000000001E-2</v>
      </c>
      <c r="CG16">
        <v>1.39968E-2</v>
      </c>
      <c r="CH16">
        <f t="shared" si="33"/>
        <v>1.439256E-2</v>
      </c>
      <c r="CI16">
        <v>1.3676600000000001E-2</v>
      </c>
      <c r="CJ16">
        <f t="shared" si="34"/>
        <v>4.3392160000000003E-6</v>
      </c>
      <c r="CK16" s="1">
        <v>4.2915299999999999E-6</v>
      </c>
      <c r="DC16">
        <v>15</v>
      </c>
      <c r="DD16" s="1">
        <f t="shared" si="16"/>
        <v>2.3630249999999999E-3</v>
      </c>
      <c r="DE16">
        <v>1.7702600000000001E-3</v>
      </c>
      <c r="DH16" t="s">
        <v>482</v>
      </c>
      <c r="DW16">
        <v>70</v>
      </c>
      <c r="DX16">
        <f t="shared" si="19"/>
        <v>2.2747284210625444E-2</v>
      </c>
      <c r="DY16">
        <v>2.1981500000000001E-2</v>
      </c>
      <c r="EA16" t="s">
        <v>550</v>
      </c>
      <c r="EE16" t="s">
        <v>561</v>
      </c>
      <c r="EJ16">
        <v>70</v>
      </c>
      <c r="EK16">
        <f t="shared" si="20"/>
        <v>0.60552648818507515</v>
      </c>
      <c r="EL16">
        <v>0.64797199999999999</v>
      </c>
      <c r="EN16" t="s">
        <v>590</v>
      </c>
      <c r="ER16" t="s">
        <v>600</v>
      </c>
    </row>
    <row r="17" spans="1:148" x14ac:dyDescent="0.4">
      <c r="A17">
        <v>75</v>
      </c>
      <c r="C17">
        <f t="shared" si="21"/>
        <v>2.5109100000000003E-3</v>
      </c>
      <c r="D17">
        <v>2.5052999999999998E-3</v>
      </c>
      <c r="E17">
        <f t="shared" si="23"/>
        <v>2.0527800000000001E-4</v>
      </c>
      <c r="F17">
        <v>1.9764899999999999E-4</v>
      </c>
      <c r="G17">
        <f t="shared" si="24"/>
        <v>2.1743699999999999E-4</v>
      </c>
      <c r="H17">
        <v>2.07901E-4</v>
      </c>
      <c r="I17">
        <f t="shared" si="25"/>
        <v>3.218655E-6</v>
      </c>
      <c r="J17" s="1">
        <v>2.8610199999999999E-6</v>
      </c>
      <c r="AB17">
        <v>750</v>
      </c>
      <c r="AC17">
        <f t="shared" si="26"/>
        <v>2.3125949999999989E-2</v>
      </c>
      <c r="AD17">
        <v>2.43669E-2</v>
      </c>
      <c r="AE17">
        <f t="shared" si="27"/>
        <v>3.3562692002214544E-4</v>
      </c>
      <c r="AF17">
        <v>3.2568000000000001E-4</v>
      </c>
      <c r="AG17">
        <f t="shared" si="28"/>
        <v>3.2953106195283494E-4</v>
      </c>
      <c r="AH17">
        <v>3.1566599999999998E-4</v>
      </c>
      <c r="AI17" s="1">
        <f t="shared" si="36"/>
        <v>9.6741926881347123E-7</v>
      </c>
      <c r="AJ17" s="1">
        <v>9.5367399999999999E-7</v>
      </c>
      <c r="BC17">
        <v>75000</v>
      </c>
      <c r="BD17">
        <f t="shared" si="29"/>
        <v>234.99000000000007</v>
      </c>
      <c r="BF17">
        <f t="shared" si="30"/>
        <v>4.0398476501309143E-2</v>
      </c>
      <c r="BG17">
        <v>4.3618900000000002E-2</v>
      </c>
      <c r="BH17">
        <f t="shared" si="31"/>
        <v>3.9998063242048139E-2</v>
      </c>
      <c r="BI17">
        <v>3.9528099999999997E-2</v>
      </c>
      <c r="BJ17" s="1">
        <f t="shared" si="35"/>
        <v>1.6950130652810597E-6</v>
      </c>
      <c r="BK17" s="1">
        <v>2.1457699999999999E-6</v>
      </c>
      <c r="CB17">
        <v>75</v>
      </c>
      <c r="CD17">
        <f t="shared" si="22"/>
        <v>16.036199999999997</v>
      </c>
      <c r="CE17">
        <v>16.347999999999999</v>
      </c>
      <c r="CF17">
        <f t="shared" si="32"/>
        <v>1.5733500000000001E-2</v>
      </c>
      <c r="CG17">
        <v>1.48191E-2</v>
      </c>
      <c r="CH17">
        <f t="shared" si="33"/>
        <v>1.54206E-2</v>
      </c>
      <c r="CI17">
        <v>1.46818E-2</v>
      </c>
      <c r="CJ17">
        <f t="shared" si="34"/>
        <v>4.6491600000000001E-6</v>
      </c>
      <c r="CK17" s="1">
        <v>4.2915299999999999E-6</v>
      </c>
      <c r="DC17">
        <v>16</v>
      </c>
      <c r="DD17" s="1">
        <f t="shared" si="16"/>
        <v>4.7260499999999999E-3</v>
      </c>
      <c r="DE17">
        <v>4.3353999999999997E-3</v>
      </c>
      <c r="DH17" t="s">
        <v>455</v>
      </c>
      <c r="DK17" s="2"/>
      <c r="DL17" s="2" t="s">
        <v>104</v>
      </c>
      <c r="DM17" s="2">
        <v>1</v>
      </c>
      <c r="DN17" s="2">
        <v>2</v>
      </c>
      <c r="DO17" s="2">
        <v>3</v>
      </c>
      <c r="DP17" s="2">
        <v>4</v>
      </c>
      <c r="DQ17" s="2">
        <v>5</v>
      </c>
      <c r="DR17" s="2">
        <v>6</v>
      </c>
      <c r="DS17" s="2" t="s">
        <v>518</v>
      </c>
      <c r="DT17" s="2" t="s">
        <v>104</v>
      </c>
      <c r="DW17">
        <v>75</v>
      </c>
      <c r="DX17">
        <f t="shared" si="19"/>
        <v>2.3276479489342118E-2</v>
      </c>
      <c r="DY17">
        <v>2.3875500000000001E-2</v>
      </c>
      <c r="EA17" t="s">
        <v>528</v>
      </c>
      <c r="EE17" t="s">
        <v>539</v>
      </c>
      <c r="EJ17">
        <v>75</v>
      </c>
      <c r="EK17">
        <f t="shared" si="20"/>
        <v>0.6267794621490681</v>
      </c>
      <c r="EL17">
        <v>0.63751899999999995</v>
      </c>
      <c r="EN17" t="s">
        <v>569</v>
      </c>
      <c r="ER17" t="s">
        <v>579</v>
      </c>
    </row>
    <row r="18" spans="1:148" x14ac:dyDescent="0.4">
      <c r="A18">
        <v>80</v>
      </c>
      <c r="C18">
        <f t="shared" si="21"/>
        <v>2.6783040000000003E-3</v>
      </c>
      <c r="D18">
        <v>2.6621800000000001E-3</v>
      </c>
      <c r="E18">
        <f t="shared" si="23"/>
        <v>2.1896320000000001E-4</v>
      </c>
      <c r="F18">
        <v>2.1100000000000001E-4</v>
      </c>
      <c r="G18">
        <f t="shared" si="24"/>
        <v>2.3193279999999999E-4</v>
      </c>
      <c r="H18">
        <v>2.39134E-4</v>
      </c>
      <c r="I18">
        <f t="shared" si="25"/>
        <v>3.433232E-6</v>
      </c>
      <c r="J18" s="1">
        <v>2.8610199999999999E-6</v>
      </c>
      <c r="AB18">
        <v>800</v>
      </c>
      <c r="AC18">
        <f t="shared" si="26"/>
        <v>2.6312191999999991E-2</v>
      </c>
      <c r="AD18">
        <v>2.6060799999999999E-2</v>
      </c>
      <c r="AE18">
        <f t="shared" si="27"/>
        <v>3.6149217902713918E-4</v>
      </c>
      <c r="AF18">
        <v>3.4427600000000002E-4</v>
      </c>
      <c r="AG18">
        <f t="shared" si="28"/>
        <v>3.5492654056056493E-4</v>
      </c>
      <c r="AH18">
        <v>3.4427600000000002E-4</v>
      </c>
      <c r="AI18" s="1">
        <f t="shared" si="36"/>
        <v>9.7368304069344087E-7</v>
      </c>
      <c r="AJ18" s="1">
        <v>9.5367399999999999E-7</v>
      </c>
      <c r="BC18">
        <v>80000</v>
      </c>
      <c r="BD18">
        <f t="shared" si="29"/>
        <v>267.36640000000006</v>
      </c>
      <c r="BF18">
        <f t="shared" si="30"/>
        <v>4.3339460145475919E-2</v>
      </c>
      <c r="BG18">
        <v>4.1679099999999997E-2</v>
      </c>
      <c r="BH18">
        <f t="shared" si="31"/>
        <v>4.2909897053142472E-2</v>
      </c>
      <c r="BI18">
        <v>4.40042E-2</v>
      </c>
      <c r="BJ18" s="1">
        <f t="shared" si="35"/>
        <v>1.7004915817379132E-6</v>
      </c>
      <c r="BK18" s="1">
        <v>1.90735E-6</v>
      </c>
      <c r="CB18">
        <v>80</v>
      </c>
      <c r="CD18">
        <f t="shared" si="22"/>
        <v>17.105279999999997</v>
      </c>
      <c r="CE18">
        <v>17.359300000000001</v>
      </c>
      <c r="CF18">
        <f t="shared" si="32"/>
        <v>1.6782400000000003E-2</v>
      </c>
      <c r="CG18">
        <v>1.5646199999999999E-2</v>
      </c>
      <c r="CH18">
        <f t="shared" si="33"/>
        <v>1.644864E-2</v>
      </c>
      <c r="CI18">
        <v>1.5358200000000001E-2</v>
      </c>
      <c r="CJ18">
        <f t="shared" si="34"/>
        <v>4.9591040000000006E-6</v>
      </c>
      <c r="CK18" s="1">
        <v>4.5299499999999997E-6</v>
      </c>
      <c r="DC18">
        <v>17</v>
      </c>
      <c r="DD18" s="1">
        <f t="shared" si="16"/>
        <v>9.4520999999999997E-3</v>
      </c>
      <c r="DE18">
        <v>8.3296299999999993E-3</v>
      </c>
      <c r="DH18" t="s">
        <v>483</v>
      </c>
      <c r="DK18" s="2" t="s">
        <v>18</v>
      </c>
      <c r="DL18" s="2">
        <v>0</v>
      </c>
      <c r="DM18" s="2" t="s">
        <v>519</v>
      </c>
      <c r="DN18" s="2" t="s">
        <v>519</v>
      </c>
      <c r="DO18" s="2" t="s">
        <v>519</v>
      </c>
      <c r="DP18" s="2" t="s">
        <v>519</v>
      </c>
      <c r="DQ18" s="2" t="s">
        <v>519</v>
      </c>
      <c r="DR18" s="2" t="s">
        <v>519</v>
      </c>
      <c r="DS18" s="2" t="s">
        <v>519</v>
      </c>
      <c r="DT18" s="2" t="s">
        <v>519</v>
      </c>
      <c r="DW18">
        <v>80</v>
      </c>
      <c r="DX18">
        <f t="shared" si="19"/>
        <v>2.3782647714130582E-2</v>
      </c>
      <c r="DY18">
        <v>2.21703E-2</v>
      </c>
      <c r="EA18" t="s">
        <v>551</v>
      </c>
      <c r="EE18" t="s">
        <v>562</v>
      </c>
      <c r="EJ18">
        <v>80</v>
      </c>
      <c r="EK18">
        <f t="shared" si="20"/>
        <v>0.64733504497284866</v>
      </c>
      <c r="EL18">
        <v>0.67746600000000001</v>
      </c>
      <c r="EN18" t="s">
        <v>591</v>
      </c>
      <c r="ER18" t="s">
        <v>601</v>
      </c>
    </row>
    <row r="19" spans="1:148" x14ac:dyDescent="0.4">
      <c r="A19">
        <v>85</v>
      </c>
      <c r="C19">
        <f t="shared" si="21"/>
        <v>2.8456980000000002E-3</v>
      </c>
      <c r="D19">
        <v>2.8331300000000001E-3</v>
      </c>
      <c r="E19">
        <f t="shared" si="23"/>
        <v>2.3264840000000001E-4</v>
      </c>
      <c r="F19">
        <v>2.2435200000000001E-4</v>
      </c>
      <c r="G19">
        <f t="shared" si="24"/>
        <v>2.4642859999999997E-4</v>
      </c>
      <c r="H19">
        <v>2.3651100000000001E-4</v>
      </c>
      <c r="I19">
        <f t="shared" si="25"/>
        <v>3.6478090000000001E-6</v>
      </c>
      <c r="J19" s="1">
        <v>2.8610199999999999E-6</v>
      </c>
      <c r="AB19">
        <v>850</v>
      </c>
      <c r="AC19">
        <f t="shared" si="26"/>
        <v>2.9703997999999992E-2</v>
      </c>
      <c r="AD19">
        <v>2.92251E-2</v>
      </c>
      <c r="AE19">
        <f t="shared" si="27"/>
        <v>3.8756881898341269E-4</v>
      </c>
      <c r="AF19">
        <v>3.6644899999999997E-4</v>
      </c>
      <c r="AG19">
        <f t="shared" si="28"/>
        <v>3.8052956089154892E-4</v>
      </c>
      <c r="AH19">
        <v>3.5667400000000002E-4</v>
      </c>
      <c r="AI19" s="1">
        <f t="shared" si="36"/>
        <v>9.7960388662253621E-7</v>
      </c>
      <c r="AJ19" s="1">
        <v>9.5367399999999999E-7</v>
      </c>
      <c r="BC19">
        <v>85000</v>
      </c>
      <c r="BD19">
        <f t="shared" si="29"/>
        <v>301.83160000000009</v>
      </c>
      <c r="BF19">
        <f>BF18/BC18*BC19/LOG10(BC18)*LOG10(BC19)</f>
        <v>4.6295448964943017E-2</v>
      </c>
      <c r="BG19">
        <v>4.4817900000000001E-2</v>
      </c>
      <c r="BH19">
        <f t="shared" si="31"/>
        <v>4.5836587314345777E-2</v>
      </c>
      <c r="BI19">
        <v>4.6422499999999998E-2</v>
      </c>
      <c r="BJ19" s="1">
        <f t="shared" si="35"/>
        <v>1.7056539849558915E-6</v>
      </c>
      <c r="BK19" s="1">
        <v>1.66893E-6</v>
      </c>
      <c r="CB19">
        <v>85</v>
      </c>
      <c r="CD19">
        <f t="shared" si="22"/>
        <v>18.174359999999997</v>
      </c>
      <c r="CE19">
        <v>18.614100000000001</v>
      </c>
      <c r="CF19">
        <f t="shared" si="32"/>
        <v>1.7831300000000005E-2</v>
      </c>
      <c r="CG19">
        <v>1.76346E-2</v>
      </c>
      <c r="CH19">
        <f t="shared" si="33"/>
        <v>1.7476680000000001E-2</v>
      </c>
      <c r="CI19">
        <v>1.6184799999999999E-2</v>
      </c>
      <c r="CJ19">
        <f t="shared" si="34"/>
        <v>5.2690480000000003E-6</v>
      </c>
      <c r="CK19" s="1">
        <v>5.0067900000000002E-6</v>
      </c>
      <c r="DC19">
        <v>18</v>
      </c>
      <c r="DD19" s="1">
        <f t="shared" si="16"/>
        <v>1.8904199999999999E-2</v>
      </c>
      <c r="DE19">
        <v>1.73473E-2</v>
      </c>
      <c r="DH19" t="s">
        <v>456</v>
      </c>
      <c r="DK19" s="2">
        <v>1</v>
      </c>
      <c r="DL19" s="2">
        <v>0</v>
      </c>
      <c r="DM19" s="3">
        <v>1</v>
      </c>
      <c r="DN19" s="2">
        <v>2</v>
      </c>
      <c r="DO19" s="2">
        <v>3</v>
      </c>
      <c r="DP19" s="2">
        <v>4</v>
      </c>
      <c r="DQ19" s="2">
        <v>5</v>
      </c>
      <c r="DR19" s="2">
        <v>6</v>
      </c>
      <c r="DS19" s="2"/>
      <c r="DT19" s="2" t="s">
        <v>104</v>
      </c>
      <c r="DW19">
        <v>85</v>
      </c>
      <c r="DX19">
        <f t="shared" si="19"/>
        <v>2.4268141344871021E-2</v>
      </c>
      <c r="DY19">
        <v>2.45662E-2</v>
      </c>
      <c r="EA19" t="s">
        <v>529</v>
      </c>
      <c r="EE19" s="2"/>
      <c r="EJ19">
        <v>85</v>
      </c>
      <c r="EK19">
        <f t="shared" si="20"/>
        <v>0.66725769139675339</v>
      </c>
      <c r="EL19">
        <v>0.70789000000000002</v>
      </c>
      <c r="EN19" t="s">
        <v>570</v>
      </c>
      <c r="ER19" t="s">
        <v>580</v>
      </c>
    </row>
    <row r="20" spans="1:148" x14ac:dyDescent="0.4">
      <c r="A20">
        <v>90</v>
      </c>
      <c r="C20">
        <f t="shared" si="21"/>
        <v>3.0130920000000002E-3</v>
      </c>
      <c r="D20">
        <v>3.0054999999999999E-3</v>
      </c>
      <c r="E20">
        <f t="shared" si="23"/>
        <v>2.4633359999999999E-4</v>
      </c>
      <c r="F20">
        <v>2.3794199999999999E-4</v>
      </c>
      <c r="G20">
        <f t="shared" si="24"/>
        <v>2.6092439999999997E-4</v>
      </c>
      <c r="H20">
        <v>2.6106799999999999E-4</v>
      </c>
      <c r="I20">
        <f t="shared" si="25"/>
        <v>3.8623859999999997E-6</v>
      </c>
      <c r="J20" s="1">
        <v>3.33786E-6</v>
      </c>
      <c r="AB20">
        <v>900</v>
      </c>
      <c r="AC20">
        <f t="shared" si="26"/>
        <v>3.3301367999999991E-2</v>
      </c>
      <c r="AD20">
        <v>3.4120999999999999E-2</v>
      </c>
      <c r="AE20">
        <f t="shared" si="27"/>
        <v>4.1384439089353576E-4</v>
      </c>
      <c r="AF20">
        <v>3.8981399999999999E-4</v>
      </c>
      <c r="AG20">
        <f t="shared" si="28"/>
        <v>4.0632790005453866E-4</v>
      </c>
      <c r="AH20">
        <v>3.7598599999999997E-4</v>
      </c>
      <c r="AI20" s="1">
        <f t="shared" si="36"/>
        <v>9.8521917983224938E-7</v>
      </c>
      <c r="AJ20" s="1">
        <v>9.5367399999999999E-7</v>
      </c>
      <c r="BC20">
        <v>90000</v>
      </c>
      <c r="BD20">
        <f t="shared" si="29"/>
        <v>338.38560000000007</v>
      </c>
      <c r="BF20">
        <f t="shared" si="30"/>
        <v>4.9265559250049655E-2</v>
      </c>
      <c r="BG20">
        <v>5.1695100000000001E-2</v>
      </c>
      <c r="BH20">
        <f t="shared" si="31"/>
        <v>4.8777259074967806E-2</v>
      </c>
      <c r="BI20">
        <v>5.0841299999999999E-2</v>
      </c>
      <c r="BJ20" s="1">
        <f t="shared" si="35"/>
        <v>1.7105355810575177E-6</v>
      </c>
      <c r="BK20" s="1">
        <v>1.90735E-6</v>
      </c>
      <c r="CB20">
        <v>90</v>
      </c>
      <c r="CD20">
        <f t="shared" si="22"/>
        <v>19.243439999999996</v>
      </c>
      <c r="CE20">
        <v>19.661300000000001</v>
      </c>
      <c r="CF20">
        <f t="shared" si="32"/>
        <v>1.8880200000000007E-2</v>
      </c>
      <c r="CG20">
        <v>1.76668E-2</v>
      </c>
      <c r="CH20">
        <f t="shared" si="33"/>
        <v>1.8504720000000002E-2</v>
      </c>
      <c r="CI20">
        <v>1.7223800000000001E-2</v>
      </c>
      <c r="CJ20">
        <f t="shared" si="34"/>
        <v>5.5789920000000001E-6</v>
      </c>
      <c r="CK20" s="1">
        <v>5.24521E-6</v>
      </c>
      <c r="DC20">
        <v>19</v>
      </c>
      <c r="DD20" s="1">
        <f>DD21/2</f>
        <v>3.7808399999999999E-2</v>
      </c>
      <c r="DE20">
        <v>4.0972000000000001E-2</v>
      </c>
      <c r="DH20" t="s">
        <v>484</v>
      </c>
      <c r="DK20" s="2">
        <v>2</v>
      </c>
      <c r="DL20" s="3">
        <v>0</v>
      </c>
      <c r="DM20" s="2">
        <v>1</v>
      </c>
      <c r="DN20" s="4"/>
      <c r="DO20" s="2"/>
      <c r="DP20" s="2"/>
      <c r="DQ20" s="2"/>
      <c r="DR20" s="2"/>
      <c r="DS20" s="2"/>
      <c r="DT20" s="2"/>
      <c r="DW20">
        <v>90</v>
      </c>
      <c r="DX20">
        <f t="shared" si="19"/>
        <v>2.4734950389752691E-2</v>
      </c>
      <c r="DY20">
        <v>2.20022E-2</v>
      </c>
      <c r="EA20" t="s">
        <v>552</v>
      </c>
      <c r="EE20" s="2"/>
      <c r="EJ20">
        <v>90</v>
      </c>
      <c r="EK20">
        <f t="shared" si="20"/>
        <v>0.6866025</v>
      </c>
      <c r="EL20">
        <v>0.76893299999999998</v>
      </c>
      <c r="EN20" t="s">
        <v>592</v>
      </c>
      <c r="ER20" t="s">
        <v>602</v>
      </c>
    </row>
    <row r="21" spans="1:148" x14ac:dyDescent="0.4">
      <c r="A21">
        <v>95</v>
      </c>
      <c r="C21">
        <f t="shared" si="21"/>
        <v>3.1804860000000002E-3</v>
      </c>
      <c r="D21">
        <v>3.15738E-3</v>
      </c>
      <c r="E21">
        <f t="shared" si="23"/>
        <v>2.6001879999999999E-4</v>
      </c>
      <c r="F21">
        <v>2.50578E-4</v>
      </c>
      <c r="G21">
        <f t="shared" si="24"/>
        <v>2.7542019999999998E-4</v>
      </c>
      <c r="H21">
        <v>2.6536000000000002E-4</v>
      </c>
      <c r="I21">
        <f t="shared" si="25"/>
        <v>4.0769629999999997E-6</v>
      </c>
      <c r="J21" s="1">
        <v>3.5762799999999998E-6</v>
      </c>
      <c r="AB21">
        <v>950</v>
      </c>
      <c r="AC21">
        <f t="shared" si="26"/>
        <v>3.7104301999999985E-2</v>
      </c>
      <c r="AD21">
        <v>3.7115099999999998E-2</v>
      </c>
      <c r="AE21">
        <f t="shared" si="27"/>
        <v>4.4030783125378176E-4</v>
      </c>
      <c r="AF21">
        <v>4.1604000000000001E-4</v>
      </c>
      <c r="AG21">
        <f t="shared" si="28"/>
        <v>4.3231069548781918E-4</v>
      </c>
      <c r="AH21">
        <v>4.0149700000000001E-4</v>
      </c>
      <c r="AI21" s="1">
        <f t="shared" si="36"/>
        <v>9.905604124405618E-7</v>
      </c>
      <c r="AJ21" s="1">
        <v>7.1525600000000001E-7</v>
      </c>
      <c r="BC21">
        <v>95000</v>
      </c>
      <c r="BD21">
        <f t="shared" si="29"/>
        <v>377.02840000000009</v>
      </c>
      <c r="BF21">
        <f t="shared" si="30"/>
        <v>5.2249005642361922E-2</v>
      </c>
      <c r="BG21">
        <v>5.1664599999999998E-2</v>
      </c>
      <c r="BH21">
        <f t="shared" si="31"/>
        <v>5.1731134760727854E-2</v>
      </c>
      <c r="BI21">
        <v>5.0821999999999999E-2</v>
      </c>
      <c r="BJ21" s="1">
        <f t="shared" si="35"/>
        <v>1.7151660324160515E-6</v>
      </c>
      <c r="BK21" s="1">
        <v>1.66893E-6</v>
      </c>
      <c r="CB21">
        <v>95</v>
      </c>
      <c r="CD21">
        <f t="shared" si="22"/>
        <v>20.312519999999996</v>
      </c>
      <c r="CE21">
        <v>20.843299999999999</v>
      </c>
      <c r="CF21">
        <f t="shared" si="32"/>
        <v>1.9929100000000005E-2</v>
      </c>
      <c r="CG21">
        <v>1.92318E-2</v>
      </c>
      <c r="CH21">
        <f t="shared" si="33"/>
        <v>1.9532760000000003E-2</v>
      </c>
      <c r="CI21">
        <v>1.7951499999999999E-2</v>
      </c>
      <c r="CJ21">
        <f t="shared" si="34"/>
        <v>5.8889360000000006E-6</v>
      </c>
      <c r="CK21" s="1">
        <v>7.3909800000000003E-6</v>
      </c>
      <c r="DC21">
        <v>20</v>
      </c>
      <c r="DD21" s="1">
        <f>DE21</f>
        <v>7.5616799999999998E-2</v>
      </c>
      <c r="DE21">
        <v>7.5616799999999998E-2</v>
      </c>
      <c r="DH21" t="s">
        <v>457</v>
      </c>
      <c r="DK21" s="2">
        <v>3</v>
      </c>
      <c r="DL21" s="2">
        <v>0</v>
      </c>
      <c r="DM21" s="2">
        <v>1</v>
      </c>
      <c r="DN21" s="2"/>
      <c r="DO21" s="2"/>
      <c r="DP21" s="2"/>
      <c r="DQ21" s="2"/>
      <c r="DR21" s="2"/>
      <c r="DS21" s="2"/>
      <c r="DT21" s="2"/>
      <c r="DW21">
        <v>95</v>
      </c>
      <c r="DX21">
        <f t="shared" si="19"/>
        <v>2.5184775020885019E-2</v>
      </c>
      <c r="DY21">
        <v>2.4695600000000002E-2</v>
      </c>
      <c r="EA21" t="s">
        <v>530</v>
      </c>
      <c r="EJ21">
        <v>95</v>
      </c>
      <c r="EK21">
        <f t="shared" si="20"/>
        <v>0.70541701091225106</v>
      </c>
      <c r="EL21">
        <v>0.83837099999999998</v>
      </c>
    </row>
    <row r="22" spans="1:148" x14ac:dyDescent="0.4">
      <c r="A22">
        <v>100</v>
      </c>
      <c r="C22">
        <f t="shared" si="21"/>
        <v>3.3478800000000001E-3</v>
      </c>
      <c r="D22">
        <v>3.30234E-3</v>
      </c>
      <c r="E22">
        <f t="shared" si="23"/>
        <v>2.7370399999999999E-4</v>
      </c>
      <c r="F22">
        <v>2.6154500000000002E-4</v>
      </c>
      <c r="G22">
        <f t="shared" si="24"/>
        <v>2.8991599999999998E-4</v>
      </c>
      <c r="H22">
        <v>2.77519E-4</v>
      </c>
      <c r="I22">
        <f t="shared" si="25"/>
        <v>4.2915399999999997E-6</v>
      </c>
      <c r="J22" s="1">
        <v>3.5762799999999998E-6</v>
      </c>
      <c r="AB22">
        <v>1000</v>
      </c>
      <c r="AC22">
        <f t="shared" si="26"/>
        <v>4.1112799999999991E-2</v>
      </c>
      <c r="AD22">
        <v>4.0551900000000002E-2</v>
      </c>
      <c r="AE22">
        <f t="shared" si="27"/>
        <v>4.6694924285016102E-4</v>
      </c>
      <c r="AF22">
        <v>4.2676900000000002E-4</v>
      </c>
      <c r="AG22">
        <f t="shared" si="28"/>
        <v>4.5846822973655635E-4</v>
      </c>
      <c r="AH22">
        <v>4.3296799999999999E-4</v>
      </c>
      <c r="AI22" s="1">
        <f t="shared" si="36"/>
        <v>9.9565437626574318E-7</v>
      </c>
      <c r="AJ22" s="1">
        <v>9.5367399999999999E-7</v>
      </c>
      <c r="BC22">
        <v>100000</v>
      </c>
      <c r="BD22">
        <f t="shared" si="29"/>
        <v>417.7600000000001</v>
      </c>
      <c r="BF22">
        <f t="shared" si="30"/>
        <v>5.5245085574169711E-2</v>
      </c>
      <c r="BG22">
        <v>6.3922199999999998E-2</v>
      </c>
      <c r="BH22">
        <f t="shared" si="31"/>
        <v>5.4697518767481065E-2</v>
      </c>
      <c r="BI22">
        <v>5.3855399999999998E-2</v>
      </c>
      <c r="BJ22" s="1">
        <f t="shared" si="35"/>
        <v>1.719570503809256E-6</v>
      </c>
      <c r="BK22" s="1">
        <v>1.90735E-6</v>
      </c>
      <c r="CB22">
        <v>100</v>
      </c>
      <c r="CD22">
        <f t="shared" si="22"/>
        <v>21.381599999999995</v>
      </c>
      <c r="CE22">
        <v>22.077100000000002</v>
      </c>
      <c r="CF22">
        <f t="shared" si="32"/>
        <v>2.0978000000000004E-2</v>
      </c>
      <c r="CG22">
        <v>1.9226099999999999E-2</v>
      </c>
      <c r="CH22">
        <f t="shared" si="33"/>
        <v>2.0560800000000004E-2</v>
      </c>
      <c r="CI22">
        <v>1.91033E-2</v>
      </c>
      <c r="CJ22">
        <f t="shared" si="34"/>
        <v>6.1988800000000004E-6</v>
      </c>
      <c r="CK22" s="1">
        <v>5.7220499999999997E-6</v>
      </c>
      <c r="DC22">
        <v>21</v>
      </c>
      <c r="DD22" s="1">
        <f>DD21*2</f>
        <v>0.1512336</v>
      </c>
      <c r="DE22">
        <v>0.16297900000000001</v>
      </c>
      <c r="DH22" t="s">
        <v>485</v>
      </c>
      <c r="DK22" s="2">
        <v>4</v>
      </c>
      <c r="DL22" s="2">
        <v>0</v>
      </c>
      <c r="DM22" s="2">
        <v>1</v>
      </c>
      <c r="DN22" s="2"/>
      <c r="DO22" s="2"/>
      <c r="DP22" s="2"/>
      <c r="DQ22" s="2"/>
      <c r="DR22" s="2"/>
      <c r="DS22" s="2"/>
      <c r="DT22" s="2"/>
      <c r="EA22" t="s">
        <v>553</v>
      </c>
    </row>
    <row r="23" spans="1:148" x14ac:dyDescent="0.4">
      <c r="DC23">
        <v>22</v>
      </c>
      <c r="DD23" s="1">
        <f t="shared" ref="DD23:DD31" si="37">DD22*2</f>
        <v>0.30246719999999999</v>
      </c>
      <c r="DE23">
        <v>0.33564899999999998</v>
      </c>
      <c r="DH23" t="s">
        <v>458</v>
      </c>
      <c r="DK23" s="2">
        <v>5</v>
      </c>
      <c r="DL23" s="2">
        <v>0</v>
      </c>
      <c r="DM23" s="2">
        <v>1</v>
      </c>
      <c r="DN23" s="2"/>
      <c r="DO23" s="2"/>
      <c r="DP23" s="2"/>
      <c r="DQ23" s="2"/>
      <c r="DR23" s="2"/>
      <c r="DS23" s="2"/>
      <c r="DT23" s="2"/>
    </row>
    <row r="24" spans="1:148" x14ac:dyDescent="0.4">
      <c r="BC24">
        <v>500000</v>
      </c>
      <c r="BF24">
        <f t="shared" ref="BF24:BF27" si="38">BF25/BC25*BC24/LOG10(BC25)*LOG10(BC24)</f>
        <v>0.53445046342523306</v>
      </c>
      <c r="BG24">
        <v>0.57952199999999998</v>
      </c>
      <c r="BH24">
        <f t="shared" ref="BH24:BH32" si="39">BH25/BC25*BC24/LOG10(BC25)*LOG10(BC24)</f>
        <v>0.50965373851129314</v>
      </c>
      <c r="BI24">
        <v>0.57620499999999997</v>
      </c>
      <c r="BJ24" s="1">
        <f t="shared" ref="BJ24:BJ34" si="40">BJ25/(BC25^(1/20))*(BC24^(1/20))</f>
        <v>4.8872903818783507E-6</v>
      </c>
      <c r="BK24" s="1">
        <v>4.5299499999999997E-6</v>
      </c>
      <c r="DC24">
        <v>23</v>
      </c>
      <c r="DD24" s="1">
        <f t="shared" si="37"/>
        <v>0.60493439999999998</v>
      </c>
      <c r="DE24">
        <v>0.71629799999999999</v>
      </c>
      <c r="DH24" t="s">
        <v>486</v>
      </c>
      <c r="DK24" s="2">
        <v>6</v>
      </c>
      <c r="DL24" s="2">
        <v>0</v>
      </c>
      <c r="DM24" s="2">
        <v>1</v>
      </c>
      <c r="DN24" s="2"/>
      <c r="DO24" s="2"/>
      <c r="DP24" s="2"/>
      <c r="DQ24" s="2"/>
      <c r="DR24" s="2"/>
      <c r="DS24" s="2"/>
      <c r="DT24" s="2"/>
    </row>
    <row r="25" spans="1:148" x14ac:dyDescent="0.4">
      <c r="BC25">
        <v>1000000</v>
      </c>
      <c r="BF25">
        <f t="shared" si="38"/>
        <v>1.1253622244411192</v>
      </c>
      <c r="BG25">
        <v>1.18</v>
      </c>
      <c r="BH25">
        <f t="shared" si="39"/>
        <v>1.0731491580903783</v>
      </c>
      <c r="BI25">
        <v>1.1687000000000001</v>
      </c>
      <c r="BJ25" s="1">
        <f t="shared" si="40"/>
        <v>5.0596403049859873E-6</v>
      </c>
      <c r="BK25" s="1">
        <v>4.5299499999999997E-6</v>
      </c>
      <c r="DC25">
        <v>24</v>
      </c>
      <c r="DD25" s="1">
        <f t="shared" si="37"/>
        <v>1.2098688</v>
      </c>
      <c r="DE25">
        <v>1.4881899999999999</v>
      </c>
      <c r="DH25" t="s">
        <v>459</v>
      </c>
      <c r="DK25" s="2" t="s">
        <v>518</v>
      </c>
      <c r="DL25" s="2">
        <v>0</v>
      </c>
      <c r="DM25" s="2">
        <v>1</v>
      </c>
      <c r="DN25" s="2"/>
      <c r="DO25" s="2"/>
      <c r="DP25" s="2"/>
      <c r="DQ25" s="2"/>
      <c r="DR25" s="2"/>
      <c r="DS25" s="2"/>
      <c r="DT25" s="2"/>
    </row>
    <row r="26" spans="1:148" x14ac:dyDescent="0.4">
      <c r="BC26">
        <v>1500000</v>
      </c>
      <c r="BF26">
        <f>BF27/BC27*BC26/LOG10(BC27)*LOG10(BC26)</f>
        <v>1.7375849494105635</v>
      </c>
      <c r="BG26">
        <v>1.7570699999999999</v>
      </c>
      <c r="BH26">
        <f t="shared" si="39"/>
        <v>1.6569667837362372</v>
      </c>
      <c r="BI26">
        <v>1.76007</v>
      </c>
      <c r="BJ26" s="1">
        <f t="shared" si="40"/>
        <v>5.1632625158430644E-6</v>
      </c>
      <c r="BK26" s="1">
        <v>5.0067900000000002E-6</v>
      </c>
      <c r="DC26">
        <v>25</v>
      </c>
      <c r="DD26" s="1">
        <f t="shared" si="37"/>
        <v>2.4197375999999999</v>
      </c>
      <c r="DE26">
        <v>3.09537</v>
      </c>
      <c r="DH26" t="s">
        <v>487</v>
      </c>
      <c r="DK26" s="2" t="s">
        <v>18</v>
      </c>
      <c r="DL26" s="2">
        <v>0</v>
      </c>
      <c r="DM26" s="2">
        <v>1</v>
      </c>
      <c r="DN26" s="2"/>
      <c r="DO26" s="2"/>
      <c r="DP26" s="2"/>
      <c r="DQ26" s="2"/>
      <c r="DR26" s="2"/>
      <c r="DS26" s="2"/>
      <c r="DT26" s="2"/>
    </row>
    <row r="27" spans="1:148" x14ac:dyDescent="0.4">
      <c r="BC27">
        <v>2000000</v>
      </c>
      <c r="BF27">
        <f t="shared" si="38"/>
        <v>2.3636470440635451</v>
      </c>
      <c r="BG27">
        <v>2.4328099999999999</v>
      </c>
      <c r="BH27">
        <f t="shared" si="39"/>
        <v>2.2539816783163404</v>
      </c>
      <c r="BI27">
        <v>2.39812</v>
      </c>
      <c r="BJ27" s="1">
        <f t="shared" si="40"/>
        <v>5.2380681350060826E-6</v>
      </c>
      <c r="BK27" s="1">
        <v>5.0067900000000002E-6</v>
      </c>
      <c r="DC27">
        <v>26</v>
      </c>
      <c r="DD27" s="1">
        <f t="shared" si="37"/>
        <v>4.8394751999999999</v>
      </c>
      <c r="DE27">
        <v>6.4305700000000003</v>
      </c>
      <c r="DH27" t="s">
        <v>460</v>
      </c>
    </row>
    <row r="28" spans="1:148" x14ac:dyDescent="0.4">
      <c r="BC28">
        <v>2500000</v>
      </c>
      <c r="BF28">
        <f>BG28</f>
        <v>3</v>
      </c>
      <c r="BG28">
        <v>3</v>
      </c>
      <c r="BH28">
        <f t="shared" si="39"/>
        <v>2.8608099724246436</v>
      </c>
      <c r="BI28">
        <v>2.9800200000000001</v>
      </c>
      <c r="BJ28" s="1">
        <f t="shared" si="40"/>
        <v>5.2968374313821505E-6</v>
      </c>
      <c r="BK28" s="1">
        <v>5.24521E-6</v>
      </c>
      <c r="DC28">
        <v>27</v>
      </c>
      <c r="DD28" s="1">
        <f t="shared" si="37"/>
        <v>9.6789503999999997</v>
      </c>
      <c r="DE28">
        <v>13.4556</v>
      </c>
      <c r="DH28" t="s">
        <v>488</v>
      </c>
    </row>
    <row r="29" spans="1:148" x14ac:dyDescent="0.4">
      <c r="BC29">
        <v>3000000</v>
      </c>
      <c r="BF29">
        <f>BF28/BC28*BC29/LOG10(BC28)*LOG10(BC29)</f>
        <v>3.6445537915930872</v>
      </c>
      <c r="BG29">
        <v>3.63503</v>
      </c>
      <c r="BH29">
        <f t="shared" si="39"/>
        <v>3.47545861067585</v>
      </c>
      <c r="BI29">
        <v>3.5238299999999998</v>
      </c>
      <c r="BJ29" s="1">
        <f t="shared" si="40"/>
        <v>5.3453445752373097E-6</v>
      </c>
      <c r="BK29" s="1">
        <v>5.24521E-6</v>
      </c>
      <c r="DC29">
        <v>28</v>
      </c>
      <c r="DD29" s="1">
        <f t="shared" si="37"/>
        <v>19.357900799999999</v>
      </c>
      <c r="DE29">
        <v>28.1648</v>
      </c>
      <c r="DH29" t="s">
        <v>461</v>
      </c>
      <c r="DK29" s="2">
        <v>1</v>
      </c>
      <c r="DL29" s="2">
        <v>0</v>
      </c>
      <c r="DM29" s="2">
        <v>1</v>
      </c>
      <c r="DN29" s="2">
        <v>2</v>
      </c>
      <c r="DO29" s="2">
        <v>3</v>
      </c>
      <c r="DP29" s="2">
        <v>4</v>
      </c>
      <c r="DQ29" s="2" t="s">
        <v>518</v>
      </c>
      <c r="DR29" s="2" t="s">
        <v>104</v>
      </c>
      <c r="DS29" t="s">
        <v>520</v>
      </c>
    </row>
    <row r="30" spans="1:148" x14ac:dyDescent="0.4">
      <c r="BC30">
        <v>3500000</v>
      </c>
      <c r="BF30">
        <f t="shared" ref="BF30:BF33" si="41">BF29/BC29*BC30/LOG10(BC29)*LOG10(BC30)</f>
        <v>4.2959273999157084</v>
      </c>
      <c r="BG30">
        <v>4.1864100000000004</v>
      </c>
      <c r="BH30">
        <f t="shared" si="39"/>
        <v>4.0966106488303771</v>
      </c>
      <c r="BI30">
        <v>4.1599000000000004</v>
      </c>
      <c r="BJ30" s="1">
        <f>BJ31/(BC31^(1/20))*(BC30^(1/20))</f>
        <v>5.3867031819341181E-6</v>
      </c>
      <c r="BK30" s="1">
        <v>7.3909800000000003E-6</v>
      </c>
      <c r="DC30">
        <v>29</v>
      </c>
      <c r="DD30" s="1">
        <f t="shared" si="37"/>
        <v>38.715801599999999</v>
      </c>
      <c r="DE30">
        <v>59.018900000000002</v>
      </c>
      <c r="DH30" t="s">
        <v>489</v>
      </c>
      <c r="DK30" s="2">
        <v>2</v>
      </c>
      <c r="DL30" s="2">
        <v>0</v>
      </c>
      <c r="DM30" s="2">
        <v>1</v>
      </c>
      <c r="DN30" s="2"/>
      <c r="DO30" s="2"/>
      <c r="DP30" s="2"/>
      <c r="DQ30" s="2"/>
      <c r="DR30" s="2"/>
      <c r="DS30" t="s">
        <v>521</v>
      </c>
    </row>
    <row r="31" spans="1:148" x14ac:dyDescent="0.4">
      <c r="BC31">
        <v>4000000</v>
      </c>
      <c r="BF31">
        <f t="shared" si="41"/>
        <v>4.9531392784897008</v>
      </c>
      <c r="BG31">
        <v>4.8672000000000004</v>
      </c>
      <c r="BH31">
        <f t="shared" si="39"/>
        <v>4.7233300809038488</v>
      </c>
      <c r="BI31">
        <v>4.7582500000000003</v>
      </c>
      <c r="BJ31" s="1">
        <f t="shared" si="40"/>
        <v>5.4227882088630186E-6</v>
      </c>
      <c r="BK31" s="1">
        <v>5.24521E-6</v>
      </c>
      <c r="DC31">
        <v>30</v>
      </c>
      <c r="DD31" s="1">
        <f t="shared" si="37"/>
        <v>77.431603199999998</v>
      </c>
      <c r="DE31">
        <v>120.755</v>
      </c>
      <c r="DH31" t="s">
        <v>462</v>
      </c>
    </row>
    <row r="32" spans="1:148" x14ac:dyDescent="0.4">
      <c r="BC32">
        <v>4500000</v>
      </c>
      <c r="BF32">
        <f t="shared" si="41"/>
        <v>5.6154555256362837</v>
      </c>
      <c r="BG32">
        <v>5.4898800000000003</v>
      </c>
      <c r="BH32">
        <f t="shared" si="39"/>
        <v>5.3549170558157844</v>
      </c>
      <c r="BI32">
        <v>5.4082299999999996</v>
      </c>
      <c r="BJ32" s="1">
        <f>BJ33/(BC33^(1/20))*(BC32^(1/20))</f>
        <v>5.4548180534474384E-6</v>
      </c>
      <c r="BK32" s="1">
        <v>6.67572E-6</v>
      </c>
      <c r="DH32" t="s">
        <v>490</v>
      </c>
    </row>
    <row r="33" spans="55:112" x14ac:dyDescent="0.4">
      <c r="BC33">
        <v>5000000</v>
      </c>
      <c r="BF33">
        <f t="shared" si="41"/>
        <v>6.2823064879532629</v>
      </c>
      <c r="BG33">
        <v>6.0472599999999996</v>
      </c>
      <c r="BH33">
        <f>BH34/BC34*BC33/LOG10(BC34)*LOG10(BC33)</f>
        <v>5.9908283501882469</v>
      </c>
      <c r="BI33">
        <v>6.0092299999999996</v>
      </c>
      <c r="BJ33" s="1">
        <f>BK33</f>
        <v>5.4836299999999999E-6</v>
      </c>
      <c r="BK33" s="1">
        <v>5.4836299999999999E-6</v>
      </c>
      <c r="DH33" t="s">
        <v>463</v>
      </c>
    </row>
    <row r="34" spans="55:112" x14ac:dyDescent="0.4">
      <c r="BC34">
        <v>5500000</v>
      </c>
      <c r="BF34">
        <f>BG34</f>
        <v>0</v>
      </c>
      <c r="BH34">
        <f>BI34</f>
        <v>6.63063</v>
      </c>
      <c r="BI34">
        <v>6.63063</v>
      </c>
      <c r="BJ34" s="1">
        <f t="shared" ref="BJ34:BJ40" si="42">BJ33/(BC33^(1/20))*(BC34^(1/20))</f>
        <v>5.5098246539198648E-6</v>
      </c>
      <c r="BK34" s="1">
        <v>6.9141399999999998E-6</v>
      </c>
      <c r="DH34" t="s">
        <v>491</v>
      </c>
    </row>
    <row r="35" spans="55:112" x14ac:dyDescent="0.4">
      <c r="BC35">
        <v>6000000</v>
      </c>
      <c r="BF35">
        <f>BF34/BC34*BC35/LOG10(BC34)*LOG10(BC35)</f>
        <v>0</v>
      </c>
      <c r="BH35">
        <f>BH34/BC34*BC35/LOG10(BC34)*LOG10(BC35)</f>
        <v>7.2739673077584523</v>
      </c>
      <c r="BI35">
        <v>7.2288899999999998</v>
      </c>
      <c r="BJ35" s="1">
        <f t="shared" si="42"/>
        <v>5.5338477445889732E-6</v>
      </c>
      <c r="BK35" s="1">
        <v>5.0067900000000002E-6</v>
      </c>
      <c r="DH35" t="s">
        <v>464</v>
      </c>
    </row>
    <row r="36" spans="55:112" x14ac:dyDescent="0.4">
      <c r="BC36">
        <v>6500000</v>
      </c>
      <c r="BF36">
        <f t="shared" ref="BF36:BF43" si="43">BF35/BC35*BC36/LOG10(BC35)*LOG10(BC36)</f>
        <v>0</v>
      </c>
      <c r="BH36">
        <f t="shared" ref="BH36:BH43" si="44">BH35/BC35*BC36/LOG10(BC35)*LOG10(BC36)</f>
        <v>7.9205449188926389</v>
      </c>
      <c r="BI36">
        <v>7.9097600000000003</v>
      </c>
      <c r="BJ36" s="1">
        <f t="shared" si="42"/>
        <v>5.5560393296990958E-6</v>
      </c>
      <c r="BK36" s="1">
        <v>5.0067900000000002E-6</v>
      </c>
      <c r="DH36" t="s">
        <v>492</v>
      </c>
    </row>
    <row r="37" spans="55:112" x14ac:dyDescent="0.4">
      <c r="BC37">
        <v>7000000</v>
      </c>
      <c r="BF37">
        <f t="shared" si="43"/>
        <v>0</v>
      </c>
      <c r="BH37">
        <f t="shared" si="44"/>
        <v>8.570113065135299</v>
      </c>
      <c r="BI37">
        <v>8.4548500000000004</v>
      </c>
      <c r="BJ37" s="1">
        <f t="shared" si="42"/>
        <v>5.5766648594011303E-6</v>
      </c>
      <c r="BK37" s="1">
        <v>5.4836299999999999E-6</v>
      </c>
      <c r="DH37" t="s">
        <v>465</v>
      </c>
    </row>
    <row r="38" spans="55:112" x14ac:dyDescent="0.4">
      <c r="BC38">
        <v>7500000</v>
      </c>
      <c r="BF38">
        <f t="shared" si="43"/>
        <v>0</v>
      </c>
      <c r="BH38">
        <f t="shared" si="44"/>
        <v>9.2224577582857208</v>
      </c>
      <c r="BI38">
        <v>9.1029599999999995</v>
      </c>
      <c r="BJ38" s="1">
        <f t="shared" si="42"/>
        <v>5.5959355849567478E-6</v>
      </c>
      <c r="BK38" s="1">
        <v>6.67572E-6</v>
      </c>
      <c r="DH38" t="s">
        <v>493</v>
      </c>
    </row>
    <row r="39" spans="55:112" x14ac:dyDescent="0.4">
      <c r="BC39">
        <v>8000000</v>
      </c>
      <c r="BF39">
        <f t="shared" si="43"/>
        <v>0</v>
      </c>
      <c r="BH39">
        <f t="shared" si="44"/>
        <v>9.877393610350035</v>
      </c>
      <c r="BI39">
        <v>9.6710999999999991</v>
      </c>
      <c r="BJ39" s="1">
        <f t="shared" si="42"/>
        <v>5.614022422056493E-6</v>
      </c>
      <c r="BK39" s="1">
        <v>5.0067900000000002E-6</v>
      </c>
      <c r="DH39" t="s">
        <v>466</v>
      </c>
    </row>
    <row r="40" spans="55:112" x14ac:dyDescent="0.4">
      <c r="BC40">
        <v>8500000</v>
      </c>
      <c r="BF40">
        <f t="shared" si="43"/>
        <v>0</v>
      </c>
      <c r="BH40">
        <f t="shared" si="44"/>
        <v>10.534758455429923</v>
      </c>
      <c r="BI40">
        <v>10.2706</v>
      </c>
      <c r="BJ40" s="1">
        <f t="shared" si="42"/>
        <v>5.6310656392818355E-6</v>
      </c>
      <c r="BK40" s="1">
        <v>5.7220499999999997E-6</v>
      </c>
      <c r="DH40" t="s">
        <v>494</v>
      </c>
    </row>
    <row r="41" spans="55:112" x14ac:dyDescent="0.4">
      <c r="BC41">
        <v>9000000</v>
      </c>
      <c r="BF41">
        <f t="shared" si="43"/>
        <v>0</v>
      </c>
      <c r="BH41">
        <f t="shared" si="44"/>
        <v>11.194409241241697</v>
      </c>
      <c r="BI41">
        <v>10.857100000000001</v>
      </c>
      <c r="BJ41" s="1">
        <f t="shared" ref="BJ37:BJ44" si="45">BJ40/(BC40^(1/20))*(BC41^(1/20))</f>
        <v>5.6471817966708327E-6</v>
      </c>
      <c r="BK41" s="1">
        <v>5.4836299999999999E-6</v>
      </c>
      <c r="DH41" t="s">
        <v>467</v>
      </c>
    </row>
    <row r="42" spans="55:112" x14ac:dyDescent="0.4">
      <c r="BC42">
        <v>9500000</v>
      </c>
      <c r="BF42">
        <f t="shared" si="43"/>
        <v>0</v>
      </c>
      <c r="BH42">
        <f t="shared" si="44"/>
        <v>11.856218836304885</v>
      </c>
      <c r="BI42">
        <v>11.5023</v>
      </c>
      <c r="BJ42" s="1">
        <f t="shared" si="45"/>
        <v>5.6624688219229558E-6</v>
      </c>
      <c r="BK42" s="1">
        <v>5.7220499999999997E-6</v>
      </c>
      <c r="DH42" t="s">
        <v>495</v>
      </c>
    </row>
    <row r="43" spans="55:112" x14ac:dyDescent="0.4">
      <c r="BC43">
        <v>10000000</v>
      </c>
      <c r="BF43">
        <f t="shared" si="43"/>
        <v>0</v>
      </c>
      <c r="BH43">
        <f t="shared" si="44"/>
        <v>12.520073511054411</v>
      </c>
      <c r="BI43">
        <v>12.188700000000001</v>
      </c>
      <c r="BJ43" s="1">
        <f t="shared" si="45"/>
        <v>5.6770097943242931E-6</v>
      </c>
      <c r="BK43" s="1">
        <v>5.7220499999999997E-6</v>
      </c>
      <c r="DH43" t="s">
        <v>468</v>
      </c>
    </row>
    <row r="44" spans="55:112" x14ac:dyDescent="0.4">
      <c r="BJ44" s="1"/>
      <c r="DH44" t="s">
        <v>496</v>
      </c>
    </row>
    <row r="45" spans="55:112" x14ac:dyDescent="0.4">
      <c r="DH45" t="s">
        <v>469</v>
      </c>
    </row>
    <row r="46" spans="55:112" x14ac:dyDescent="0.4">
      <c r="DH46" t="s">
        <v>497</v>
      </c>
    </row>
    <row r="47" spans="55:112" x14ac:dyDescent="0.4">
      <c r="DH47" t="s">
        <v>470</v>
      </c>
    </row>
    <row r="48" spans="55:112" x14ac:dyDescent="0.4">
      <c r="DH48" t="s">
        <v>499</v>
      </c>
    </row>
    <row r="49" spans="1:112" x14ac:dyDescent="0.4">
      <c r="DH49" t="s">
        <v>471</v>
      </c>
    </row>
    <row r="50" spans="1:112" x14ac:dyDescent="0.4">
      <c r="DH50" t="s">
        <v>500</v>
      </c>
    </row>
    <row r="51" spans="1:112" x14ac:dyDescent="0.4">
      <c r="AN51" t="s">
        <v>105</v>
      </c>
      <c r="AR51" t="s">
        <v>150</v>
      </c>
      <c r="AV51" t="s">
        <v>180</v>
      </c>
      <c r="DH51" t="s">
        <v>472</v>
      </c>
    </row>
    <row r="52" spans="1:112" x14ac:dyDescent="0.4">
      <c r="AN52" t="s">
        <v>106</v>
      </c>
      <c r="AR52" t="s">
        <v>151</v>
      </c>
      <c r="AV52" t="s">
        <v>181</v>
      </c>
      <c r="DH52" t="s">
        <v>501</v>
      </c>
    </row>
    <row r="53" spans="1:112" x14ac:dyDescent="0.4">
      <c r="AN53" t="s">
        <v>126</v>
      </c>
      <c r="AR53" t="s">
        <v>152</v>
      </c>
      <c r="AV53" t="s">
        <v>182</v>
      </c>
      <c r="DH53" t="s">
        <v>473</v>
      </c>
    </row>
    <row r="54" spans="1:112" x14ac:dyDescent="0.4">
      <c r="AN54" t="s">
        <v>127</v>
      </c>
      <c r="AR54" t="s">
        <v>153</v>
      </c>
      <c r="AV54" t="s">
        <v>176</v>
      </c>
      <c r="DH54" t="s">
        <v>502</v>
      </c>
    </row>
    <row r="55" spans="1:112" x14ac:dyDescent="0.4">
      <c r="AN55" t="s">
        <v>107</v>
      </c>
      <c r="AR55" t="s">
        <v>110</v>
      </c>
      <c r="AV55" t="s">
        <v>120</v>
      </c>
      <c r="DH55" t="s">
        <v>474</v>
      </c>
    </row>
    <row r="56" spans="1:112" x14ac:dyDescent="0.4">
      <c r="A56" t="s">
        <v>0</v>
      </c>
      <c r="H56" t="s">
        <v>9</v>
      </c>
      <c r="AN56" t="s">
        <v>111</v>
      </c>
      <c r="AR56" t="s">
        <v>154</v>
      </c>
      <c r="AV56" t="s">
        <v>183</v>
      </c>
      <c r="DH56" t="s">
        <v>503</v>
      </c>
    </row>
    <row r="57" spans="1:112" x14ac:dyDescent="0.4">
      <c r="A57" t="s">
        <v>1</v>
      </c>
      <c r="H57" t="s">
        <v>39</v>
      </c>
      <c r="AN57" t="s">
        <v>128</v>
      </c>
      <c r="AR57" t="s">
        <v>155</v>
      </c>
      <c r="AV57" t="s">
        <v>184</v>
      </c>
      <c r="DH57" t="s">
        <v>475</v>
      </c>
    </row>
    <row r="58" spans="1:112" x14ac:dyDescent="0.4">
      <c r="A58" t="s">
        <v>2</v>
      </c>
      <c r="H58" t="s">
        <v>40</v>
      </c>
      <c r="AN58" t="s">
        <v>129</v>
      </c>
      <c r="AR58" t="s">
        <v>156</v>
      </c>
      <c r="AV58" t="s">
        <v>121</v>
      </c>
      <c r="DH58" t="s">
        <v>504</v>
      </c>
    </row>
    <row r="59" spans="1:112" x14ac:dyDescent="0.4">
      <c r="A59" t="s">
        <v>3</v>
      </c>
      <c r="H59" t="s">
        <v>41</v>
      </c>
      <c r="K59" t="s">
        <v>53</v>
      </c>
      <c r="AN59" t="s">
        <v>130</v>
      </c>
      <c r="AR59" t="s">
        <v>157</v>
      </c>
      <c r="AV59" t="s">
        <v>176</v>
      </c>
      <c r="DH59" t="s">
        <v>498</v>
      </c>
    </row>
    <row r="60" spans="1:112" x14ac:dyDescent="0.4">
      <c r="A60" t="s">
        <v>19</v>
      </c>
      <c r="H60" t="s">
        <v>27</v>
      </c>
      <c r="K60" t="s">
        <v>64</v>
      </c>
      <c r="AN60" t="s">
        <v>131</v>
      </c>
      <c r="AR60" t="s">
        <v>114</v>
      </c>
      <c r="AV60" t="s">
        <v>122</v>
      </c>
      <c r="DH60" t="s">
        <v>505</v>
      </c>
    </row>
    <row r="61" spans="1:112" x14ac:dyDescent="0.4">
      <c r="A61" t="s">
        <v>4</v>
      </c>
      <c r="H61" t="s">
        <v>10</v>
      </c>
      <c r="K61" t="s">
        <v>65</v>
      </c>
      <c r="AN61" t="s">
        <v>7</v>
      </c>
      <c r="AR61" t="s">
        <v>158</v>
      </c>
      <c r="AV61" t="s">
        <v>185</v>
      </c>
    </row>
    <row r="62" spans="1:112" x14ac:dyDescent="0.4">
      <c r="A62" t="s">
        <v>20</v>
      </c>
      <c r="H62" t="s">
        <v>42</v>
      </c>
      <c r="K62" t="s">
        <v>66</v>
      </c>
      <c r="AN62" t="s">
        <v>132</v>
      </c>
      <c r="AR62" t="s">
        <v>159</v>
      </c>
      <c r="AV62" t="s">
        <v>186</v>
      </c>
    </row>
    <row r="63" spans="1:112" x14ac:dyDescent="0.4">
      <c r="A63" t="s">
        <v>21</v>
      </c>
      <c r="H63" t="s">
        <v>43</v>
      </c>
      <c r="K63" t="s">
        <v>67</v>
      </c>
      <c r="AN63" t="s">
        <v>133</v>
      </c>
      <c r="AR63" t="s">
        <v>160</v>
      </c>
      <c r="AV63" t="s">
        <v>187</v>
      </c>
    </row>
    <row r="64" spans="1:112" x14ac:dyDescent="0.4">
      <c r="A64" t="s">
        <v>22</v>
      </c>
      <c r="H64" t="s">
        <v>44</v>
      </c>
      <c r="K64" t="s">
        <v>54</v>
      </c>
      <c r="AN64" t="s">
        <v>134</v>
      </c>
      <c r="AR64" t="s">
        <v>161</v>
      </c>
      <c r="AV64" t="s">
        <v>176</v>
      </c>
    </row>
    <row r="65" spans="1:96" x14ac:dyDescent="0.4">
      <c r="A65" t="s">
        <v>23</v>
      </c>
      <c r="H65" t="s">
        <v>45</v>
      </c>
      <c r="K65" t="s">
        <v>68</v>
      </c>
      <c r="AN65" t="s">
        <v>27</v>
      </c>
      <c r="AR65" t="s">
        <v>115</v>
      </c>
      <c r="AV65" t="s">
        <v>123</v>
      </c>
    </row>
    <row r="66" spans="1:96" x14ac:dyDescent="0.4">
      <c r="A66" t="s">
        <v>5</v>
      </c>
      <c r="H66" t="s">
        <v>11</v>
      </c>
      <c r="K66" t="s">
        <v>73</v>
      </c>
      <c r="AN66" t="s">
        <v>112</v>
      </c>
      <c r="AR66" t="s">
        <v>162</v>
      </c>
      <c r="AV66" t="s">
        <v>188</v>
      </c>
    </row>
    <row r="67" spans="1:96" x14ac:dyDescent="0.4">
      <c r="A67" t="s">
        <v>24</v>
      </c>
      <c r="H67" t="s">
        <v>46</v>
      </c>
      <c r="K67" t="s">
        <v>74</v>
      </c>
      <c r="AN67" t="s">
        <v>135</v>
      </c>
      <c r="AR67" t="s">
        <v>163</v>
      </c>
      <c r="AV67" t="s">
        <v>189</v>
      </c>
    </row>
    <row r="68" spans="1:96" x14ac:dyDescent="0.4">
      <c r="A68" t="s">
        <v>25</v>
      </c>
      <c r="H68" t="s">
        <v>47</v>
      </c>
      <c r="K68" t="s">
        <v>67</v>
      </c>
      <c r="AN68" t="s">
        <v>136</v>
      </c>
      <c r="AR68" t="s">
        <v>164</v>
      </c>
      <c r="AV68" t="s">
        <v>190</v>
      </c>
    </row>
    <row r="69" spans="1:96" x14ac:dyDescent="0.4">
      <c r="A69" t="s">
        <v>26</v>
      </c>
      <c r="H69" t="s">
        <v>48</v>
      </c>
      <c r="K69" t="s">
        <v>55</v>
      </c>
      <c r="AN69" t="s">
        <v>137</v>
      </c>
      <c r="AR69" t="s">
        <v>161</v>
      </c>
      <c r="AV69" t="s">
        <v>176</v>
      </c>
      <c r="BM69" t="s">
        <v>105</v>
      </c>
      <c r="BQ69" t="s">
        <v>230</v>
      </c>
    </row>
    <row r="70" spans="1:96" x14ac:dyDescent="0.4">
      <c r="A70" t="s">
        <v>27</v>
      </c>
      <c r="H70" t="s">
        <v>49</v>
      </c>
      <c r="K70" t="s">
        <v>72</v>
      </c>
      <c r="AN70" t="s">
        <v>138</v>
      </c>
      <c r="AR70" t="s">
        <v>116</v>
      </c>
      <c r="AV70" t="s">
        <v>124</v>
      </c>
      <c r="BM70" t="s">
        <v>106</v>
      </c>
      <c r="BQ70" t="s">
        <v>231</v>
      </c>
    </row>
    <row r="71" spans="1:96" x14ac:dyDescent="0.4">
      <c r="A71" t="s">
        <v>6</v>
      </c>
      <c r="H71" t="s">
        <v>12</v>
      </c>
      <c r="K71" t="s">
        <v>69</v>
      </c>
      <c r="AN71" t="s">
        <v>108</v>
      </c>
      <c r="AR71" t="s">
        <v>165</v>
      </c>
      <c r="AV71" t="s">
        <v>191</v>
      </c>
      <c r="BM71" t="s">
        <v>126</v>
      </c>
      <c r="BQ71" t="s">
        <v>293</v>
      </c>
    </row>
    <row r="72" spans="1:96" x14ac:dyDescent="0.4">
      <c r="A72" t="s">
        <v>28</v>
      </c>
      <c r="H72" t="s">
        <v>50</v>
      </c>
      <c r="K72" t="s">
        <v>70</v>
      </c>
      <c r="AN72" t="s">
        <v>139</v>
      </c>
      <c r="AR72" t="s">
        <v>166</v>
      </c>
      <c r="AV72" t="s">
        <v>192</v>
      </c>
      <c r="BM72" t="s">
        <v>127</v>
      </c>
      <c r="BQ72" t="s">
        <v>294</v>
      </c>
    </row>
    <row r="73" spans="1:96" x14ac:dyDescent="0.4">
      <c r="A73" t="s">
        <v>29</v>
      </c>
      <c r="H73" t="s">
        <v>51</v>
      </c>
      <c r="K73" t="s">
        <v>71</v>
      </c>
      <c r="AN73" t="s">
        <v>140</v>
      </c>
      <c r="AR73" t="s">
        <v>167</v>
      </c>
      <c r="AV73" t="s">
        <v>193</v>
      </c>
      <c r="BM73" t="s">
        <v>107</v>
      </c>
      <c r="BQ73" t="s">
        <v>285</v>
      </c>
    </row>
    <row r="74" spans="1:96" x14ac:dyDescent="0.4">
      <c r="A74" t="s">
        <v>30</v>
      </c>
      <c r="H74" t="s">
        <v>52</v>
      </c>
      <c r="K74" t="s">
        <v>56</v>
      </c>
      <c r="AN74" t="s">
        <v>141</v>
      </c>
      <c r="AR74" t="s">
        <v>168</v>
      </c>
      <c r="AV74" t="s">
        <v>194</v>
      </c>
      <c r="BM74" t="s">
        <v>198</v>
      </c>
      <c r="BQ74" t="s">
        <v>232</v>
      </c>
    </row>
    <row r="75" spans="1:96" x14ac:dyDescent="0.4">
      <c r="A75" t="s">
        <v>31</v>
      </c>
      <c r="H75" t="s">
        <v>49</v>
      </c>
      <c r="K75" t="s">
        <v>75</v>
      </c>
      <c r="AN75" t="s">
        <v>142</v>
      </c>
      <c r="AR75" t="s">
        <v>117</v>
      </c>
      <c r="AV75" t="s">
        <v>125</v>
      </c>
      <c r="BM75" t="s">
        <v>254</v>
      </c>
      <c r="BQ75" t="s">
        <v>231</v>
      </c>
    </row>
    <row r="76" spans="1:96" x14ac:dyDescent="0.4">
      <c r="A76" t="s">
        <v>7</v>
      </c>
      <c r="K76" t="s">
        <v>76</v>
      </c>
      <c r="AN76" t="s">
        <v>113</v>
      </c>
      <c r="AR76" t="s">
        <v>169</v>
      </c>
      <c r="AV76" t="s">
        <v>195</v>
      </c>
      <c r="BM76" t="s">
        <v>255</v>
      </c>
      <c r="BQ76" t="s">
        <v>295</v>
      </c>
    </row>
    <row r="77" spans="1:96" x14ac:dyDescent="0.4">
      <c r="A77" t="s">
        <v>32</v>
      </c>
      <c r="K77" t="s">
        <v>77</v>
      </c>
      <c r="AN77" t="s">
        <v>143</v>
      </c>
      <c r="AR77" t="s">
        <v>170</v>
      </c>
      <c r="AV77" t="s">
        <v>196</v>
      </c>
      <c r="BM77" t="s">
        <v>256</v>
      </c>
      <c r="BQ77" t="s">
        <v>296</v>
      </c>
    </row>
    <row r="78" spans="1:96" x14ac:dyDescent="0.4">
      <c r="A78" t="s">
        <v>33</v>
      </c>
      <c r="K78" t="s">
        <v>71</v>
      </c>
      <c r="AN78" t="s">
        <v>144</v>
      </c>
      <c r="AR78" t="s">
        <v>171</v>
      </c>
      <c r="AV78" t="s">
        <v>197</v>
      </c>
      <c r="BM78" t="s">
        <v>257</v>
      </c>
      <c r="BQ78" t="s">
        <v>285</v>
      </c>
      <c r="CN78" t="s">
        <v>208</v>
      </c>
      <c r="CR78" t="s">
        <v>219</v>
      </c>
    </row>
    <row r="79" spans="1:96" x14ac:dyDescent="0.4">
      <c r="A79" t="s">
        <v>34</v>
      </c>
      <c r="K79" t="s">
        <v>57</v>
      </c>
      <c r="AN79" t="s">
        <v>145</v>
      </c>
      <c r="AR79" t="s">
        <v>172</v>
      </c>
      <c r="AV79" t="s">
        <v>176</v>
      </c>
      <c r="BM79" t="s">
        <v>199</v>
      </c>
      <c r="BQ79" t="s">
        <v>233</v>
      </c>
      <c r="BV79" t="s">
        <v>242</v>
      </c>
      <c r="CN79" t="s">
        <v>369</v>
      </c>
      <c r="CR79" t="s">
        <v>403</v>
      </c>
    </row>
    <row r="80" spans="1:96" x14ac:dyDescent="0.4">
      <c r="A80" t="s">
        <v>27</v>
      </c>
      <c r="K80" t="s">
        <v>78</v>
      </c>
      <c r="AN80" t="s">
        <v>138</v>
      </c>
      <c r="AR80" t="s">
        <v>118</v>
      </c>
      <c r="BM80" t="s">
        <v>258</v>
      </c>
      <c r="BQ80" t="s">
        <v>234</v>
      </c>
      <c r="BV80" t="s">
        <v>327</v>
      </c>
      <c r="CN80" t="s">
        <v>209</v>
      </c>
      <c r="CR80" t="s">
        <v>404</v>
      </c>
    </row>
    <row r="81" spans="1:96" x14ac:dyDescent="0.4">
      <c r="A81" t="s">
        <v>8</v>
      </c>
      <c r="K81" t="s">
        <v>79</v>
      </c>
      <c r="AN81" t="s">
        <v>109</v>
      </c>
      <c r="AR81" t="s">
        <v>173</v>
      </c>
      <c r="BM81" t="s">
        <v>259</v>
      </c>
      <c r="BQ81" t="s">
        <v>297</v>
      </c>
      <c r="BV81" t="s">
        <v>328</v>
      </c>
      <c r="CN81" t="s">
        <v>210</v>
      </c>
      <c r="CR81" t="s">
        <v>405</v>
      </c>
    </row>
    <row r="82" spans="1:96" x14ac:dyDescent="0.4">
      <c r="A82" t="s">
        <v>35</v>
      </c>
      <c r="K82" t="s">
        <v>77</v>
      </c>
      <c r="AN82" t="s">
        <v>146</v>
      </c>
      <c r="AR82" t="s">
        <v>174</v>
      </c>
      <c r="BM82" t="s">
        <v>260</v>
      </c>
      <c r="BQ82" t="s">
        <v>298</v>
      </c>
      <c r="BV82" t="s">
        <v>329</v>
      </c>
      <c r="CN82" t="s">
        <v>370</v>
      </c>
      <c r="CR82" t="s">
        <v>406</v>
      </c>
    </row>
    <row r="83" spans="1:96" x14ac:dyDescent="0.4">
      <c r="A83" t="s">
        <v>36</v>
      </c>
      <c r="K83" t="s">
        <v>80</v>
      </c>
      <c r="AN83" t="s">
        <v>147</v>
      </c>
      <c r="AR83" t="s">
        <v>175</v>
      </c>
      <c r="BM83" t="s">
        <v>261</v>
      </c>
      <c r="BQ83" t="s">
        <v>285</v>
      </c>
      <c r="BV83" t="s">
        <v>243</v>
      </c>
      <c r="CN83" t="s">
        <v>211</v>
      </c>
      <c r="CR83" t="s">
        <v>220</v>
      </c>
    </row>
    <row r="84" spans="1:96" x14ac:dyDescent="0.4">
      <c r="A84" t="s">
        <v>37</v>
      </c>
      <c r="K84" t="s">
        <v>58</v>
      </c>
      <c r="AN84" t="s">
        <v>148</v>
      </c>
      <c r="AR84" t="s">
        <v>176</v>
      </c>
      <c r="BM84" t="s">
        <v>200</v>
      </c>
      <c r="BQ84" t="s">
        <v>235</v>
      </c>
      <c r="BV84" t="s">
        <v>330</v>
      </c>
      <c r="CN84" t="s">
        <v>371</v>
      </c>
      <c r="CR84" t="s">
        <v>407</v>
      </c>
    </row>
    <row r="85" spans="1:96" x14ac:dyDescent="0.4">
      <c r="A85" t="s">
        <v>38</v>
      </c>
      <c r="K85" t="s">
        <v>81</v>
      </c>
      <c r="AN85" t="s">
        <v>149</v>
      </c>
      <c r="AR85" t="s">
        <v>119</v>
      </c>
      <c r="BM85" t="s">
        <v>262</v>
      </c>
      <c r="BQ85" t="s">
        <v>231</v>
      </c>
      <c r="BV85" t="s">
        <v>331</v>
      </c>
      <c r="CN85" t="s">
        <v>372</v>
      </c>
      <c r="CR85" t="s">
        <v>408</v>
      </c>
    </row>
    <row r="86" spans="1:96" x14ac:dyDescent="0.4">
      <c r="K86" t="s">
        <v>82</v>
      </c>
      <c r="AR86" t="s">
        <v>177</v>
      </c>
      <c r="BM86" t="s">
        <v>263</v>
      </c>
      <c r="BQ86" t="s">
        <v>299</v>
      </c>
      <c r="BV86" t="s">
        <v>332</v>
      </c>
      <c r="CN86" t="s">
        <v>373</v>
      </c>
      <c r="CR86" t="s">
        <v>409</v>
      </c>
    </row>
    <row r="87" spans="1:96" x14ac:dyDescent="0.4">
      <c r="K87" t="s">
        <v>83</v>
      </c>
      <c r="AR87" t="s">
        <v>178</v>
      </c>
      <c r="BM87" t="s">
        <v>264</v>
      </c>
      <c r="BQ87" t="s">
        <v>300</v>
      </c>
      <c r="BV87" t="s">
        <v>244</v>
      </c>
      <c r="CN87" t="s">
        <v>374</v>
      </c>
      <c r="CR87" t="s">
        <v>410</v>
      </c>
    </row>
    <row r="88" spans="1:96" x14ac:dyDescent="0.4">
      <c r="K88" t="s">
        <v>84</v>
      </c>
      <c r="AR88" t="s">
        <v>179</v>
      </c>
      <c r="BM88" t="s">
        <v>265</v>
      </c>
      <c r="BQ88" t="s">
        <v>301</v>
      </c>
      <c r="BV88" t="s">
        <v>333</v>
      </c>
      <c r="CN88" t="s">
        <v>212</v>
      </c>
      <c r="CR88" t="s">
        <v>221</v>
      </c>
    </row>
    <row r="89" spans="1:96" x14ac:dyDescent="0.4">
      <c r="K89" t="s">
        <v>59</v>
      </c>
      <c r="AR89" t="s">
        <v>176</v>
      </c>
      <c r="BM89" t="s">
        <v>201</v>
      </c>
      <c r="BQ89" t="s">
        <v>236</v>
      </c>
      <c r="BV89" t="s">
        <v>334</v>
      </c>
      <c r="CN89" t="s">
        <v>375</v>
      </c>
      <c r="CR89" t="s">
        <v>411</v>
      </c>
    </row>
    <row r="90" spans="1:96" x14ac:dyDescent="0.4">
      <c r="K90" t="s">
        <v>85</v>
      </c>
      <c r="BM90" t="s">
        <v>266</v>
      </c>
      <c r="BQ90" t="s">
        <v>234</v>
      </c>
      <c r="BV90" t="s">
        <v>335</v>
      </c>
      <c r="CN90" t="s">
        <v>376</v>
      </c>
      <c r="CR90" t="s">
        <v>412</v>
      </c>
    </row>
    <row r="91" spans="1:96" x14ac:dyDescent="0.4">
      <c r="K91" t="s">
        <v>86</v>
      </c>
      <c r="BM91" t="s">
        <v>267</v>
      </c>
      <c r="BQ91" t="s">
        <v>302</v>
      </c>
      <c r="BV91" t="s">
        <v>245</v>
      </c>
      <c r="BZ91" t="s">
        <v>252</v>
      </c>
      <c r="CN91" t="s">
        <v>377</v>
      </c>
      <c r="CR91" t="s">
        <v>413</v>
      </c>
    </row>
    <row r="92" spans="1:96" x14ac:dyDescent="0.4">
      <c r="K92" t="s">
        <v>87</v>
      </c>
      <c r="BM92" t="s">
        <v>268</v>
      </c>
      <c r="BQ92" t="s">
        <v>303</v>
      </c>
      <c r="BV92" t="s">
        <v>336</v>
      </c>
      <c r="BZ92" t="s">
        <v>354</v>
      </c>
      <c r="CN92" t="s">
        <v>378</v>
      </c>
      <c r="CR92" t="s">
        <v>414</v>
      </c>
    </row>
    <row r="93" spans="1:96" x14ac:dyDescent="0.4">
      <c r="K93" t="s">
        <v>84</v>
      </c>
      <c r="BM93" t="s">
        <v>269</v>
      </c>
      <c r="BQ93" t="s">
        <v>304</v>
      </c>
      <c r="BV93" t="s">
        <v>337</v>
      </c>
      <c r="BZ93" t="s">
        <v>355</v>
      </c>
      <c r="CN93" t="s">
        <v>213</v>
      </c>
      <c r="CR93" t="s">
        <v>222</v>
      </c>
    </row>
    <row r="94" spans="1:96" x14ac:dyDescent="0.4">
      <c r="K94" t="s">
        <v>60</v>
      </c>
      <c r="BM94" t="s">
        <v>202</v>
      </c>
      <c r="BQ94" t="s">
        <v>237</v>
      </c>
      <c r="BV94" t="s">
        <v>335</v>
      </c>
      <c r="BZ94" t="s">
        <v>317</v>
      </c>
      <c r="CN94" t="s">
        <v>379</v>
      </c>
      <c r="CR94" t="s">
        <v>415</v>
      </c>
    </row>
    <row r="95" spans="1:96" x14ac:dyDescent="0.4">
      <c r="K95" t="s">
        <v>88</v>
      </c>
      <c r="BM95" t="s">
        <v>270</v>
      </c>
      <c r="BQ95" t="s">
        <v>231</v>
      </c>
      <c r="BV95" t="s">
        <v>246</v>
      </c>
      <c r="BZ95" t="s">
        <v>356</v>
      </c>
      <c r="CN95" t="s">
        <v>380</v>
      </c>
      <c r="CR95" t="s">
        <v>416</v>
      </c>
    </row>
    <row r="96" spans="1:96" x14ac:dyDescent="0.4">
      <c r="K96" t="s">
        <v>89</v>
      </c>
      <c r="BM96" t="s">
        <v>271</v>
      </c>
      <c r="BQ96" t="s">
        <v>305</v>
      </c>
      <c r="BV96" t="s">
        <v>338</v>
      </c>
      <c r="BZ96" t="s">
        <v>318</v>
      </c>
      <c r="CN96" t="s">
        <v>381</v>
      </c>
      <c r="CR96" t="s">
        <v>417</v>
      </c>
    </row>
    <row r="97" spans="11:96" x14ac:dyDescent="0.4">
      <c r="K97" t="s">
        <v>90</v>
      </c>
      <c r="BM97" t="s">
        <v>272</v>
      </c>
      <c r="BQ97" t="s">
        <v>306</v>
      </c>
      <c r="BV97" t="s">
        <v>339</v>
      </c>
      <c r="BZ97" t="s">
        <v>319</v>
      </c>
      <c r="CN97" t="s">
        <v>265</v>
      </c>
      <c r="CR97" t="s">
        <v>418</v>
      </c>
    </row>
    <row r="98" spans="11:96" x14ac:dyDescent="0.4">
      <c r="K98" t="s">
        <v>84</v>
      </c>
      <c r="BM98" t="s">
        <v>273</v>
      </c>
      <c r="BQ98" t="s">
        <v>307</v>
      </c>
      <c r="BV98" t="s">
        <v>340</v>
      </c>
      <c r="BZ98" t="s">
        <v>358</v>
      </c>
      <c r="CN98" t="s">
        <v>199</v>
      </c>
      <c r="CR98" t="s">
        <v>223</v>
      </c>
    </row>
    <row r="99" spans="11:96" x14ac:dyDescent="0.4">
      <c r="K99" t="s">
        <v>61</v>
      </c>
      <c r="BM99" t="s">
        <v>203</v>
      </c>
      <c r="BQ99" t="s">
        <v>238</v>
      </c>
      <c r="BV99" t="s">
        <v>247</v>
      </c>
      <c r="BZ99" t="s">
        <v>357</v>
      </c>
      <c r="CN99" t="s">
        <v>382</v>
      </c>
      <c r="CR99" t="s">
        <v>419</v>
      </c>
    </row>
    <row r="100" spans="11:96" x14ac:dyDescent="0.4">
      <c r="K100" t="s">
        <v>91</v>
      </c>
      <c r="BM100" t="s">
        <v>274</v>
      </c>
      <c r="BQ100" t="s">
        <v>231</v>
      </c>
      <c r="BV100" t="s">
        <v>341</v>
      </c>
      <c r="BZ100" t="s">
        <v>320</v>
      </c>
      <c r="CN100" t="s">
        <v>383</v>
      </c>
      <c r="CR100" t="s">
        <v>420</v>
      </c>
    </row>
    <row r="101" spans="11:96" x14ac:dyDescent="0.4">
      <c r="K101" t="s">
        <v>92</v>
      </c>
      <c r="BM101" t="s">
        <v>275</v>
      </c>
      <c r="BQ101" t="s">
        <v>308</v>
      </c>
      <c r="BV101" t="s">
        <v>342</v>
      </c>
      <c r="BZ101" t="s">
        <v>359</v>
      </c>
      <c r="CN101" t="s">
        <v>384</v>
      </c>
      <c r="CR101" t="s">
        <v>421</v>
      </c>
    </row>
    <row r="102" spans="11:96" x14ac:dyDescent="0.4">
      <c r="K102" t="s">
        <v>93</v>
      </c>
      <c r="BM102" t="s">
        <v>276</v>
      </c>
      <c r="BQ102" t="s">
        <v>309</v>
      </c>
      <c r="BV102" t="s">
        <v>340</v>
      </c>
      <c r="BZ102" t="s">
        <v>353</v>
      </c>
      <c r="CN102" t="s">
        <v>378</v>
      </c>
      <c r="CR102" t="s">
        <v>422</v>
      </c>
    </row>
    <row r="103" spans="11:96" x14ac:dyDescent="0.4">
      <c r="K103" t="s">
        <v>94</v>
      </c>
      <c r="BM103" t="s">
        <v>277</v>
      </c>
      <c r="BQ103" t="s">
        <v>310</v>
      </c>
      <c r="BV103" t="s">
        <v>248</v>
      </c>
      <c r="BZ103" t="s">
        <v>321</v>
      </c>
      <c r="CN103" t="s">
        <v>214</v>
      </c>
      <c r="CR103" t="s">
        <v>224</v>
      </c>
    </row>
    <row r="104" spans="11:96" x14ac:dyDescent="0.4">
      <c r="K104" t="s">
        <v>62</v>
      </c>
      <c r="BM104" t="s">
        <v>204</v>
      </c>
      <c r="BQ104" t="s">
        <v>239</v>
      </c>
      <c r="BV104" t="s">
        <v>343</v>
      </c>
      <c r="BZ104" t="s">
        <v>360</v>
      </c>
      <c r="CN104" t="s">
        <v>385</v>
      </c>
      <c r="CR104" t="s">
        <v>423</v>
      </c>
    </row>
    <row r="105" spans="11:96" x14ac:dyDescent="0.4">
      <c r="K105" t="s">
        <v>95</v>
      </c>
      <c r="BM105" t="s">
        <v>278</v>
      </c>
      <c r="BQ105" t="s">
        <v>231</v>
      </c>
      <c r="BV105" t="s">
        <v>344</v>
      </c>
      <c r="BZ105" t="s">
        <v>350</v>
      </c>
      <c r="CN105" t="s">
        <v>386</v>
      </c>
      <c r="CR105" t="s">
        <v>424</v>
      </c>
    </row>
    <row r="106" spans="11:96" x14ac:dyDescent="0.4">
      <c r="K106" t="s">
        <v>96</v>
      </c>
      <c r="BM106" t="s">
        <v>279</v>
      </c>
      <c r="BQ106" t="s">
        <v>311</v>
      </c>
      <c r="BV106" t="s">
        <v>345</v>
      </c>
      <c r="BZ106" t="s">
        <v>322</v>
      </c>
      <c r="CN106" t="s">
        <v>387</v>
      </c>
      <c r="CR106" t="s">
        <v>425</v>
      </c>
    </row>
    <row r="107" spans="11:96" x14ac:dyDescent="0.4">
      <c r="K107" t="s">
        <v>97</v>
      </c>
      <c r="BM107" t="s">
        <v>280</v>
      </c>
      <c r="BQ107" t="s">
        <v>312</v>
      </c>
      <c r="BV107" t="s">
        <v>249</v>
      </c>
      <c r="BZ107" t="s">
        <v>361</v>
      </c>
      <c r="CN107" t="s">
        <v>261</v>
      </c>
      <c r="CR107" t="s">
        <v>422</v>
      </c>
    </row>
    <row r="108" spans="11:96" x14ac:dyDescent="0.4">
      <c r="K108" t="s">
        <v>98</v>
      </c>
      <c r="BM108" t="s">
        <v>281</v>
      </c>
      <c r="BQ108" t="s">
        <v>307</v>
      </c>
      <c r="BV108" t="s">
        <v>346</v>
      </c>
      <c r="BZ108" t="s">
        <v>357</v>
      </c>
      <c r="CN108" t="s">
        <v>215</v>
      </c>
      <c r="CR108" t="s">
        <v>225</v>
      </c>
    </row>
    <row r="109" spans="11:96" x14ac:dyDescent="0.4">
      <c r="K109" t="s">
        <v>63</v>
      </c>
      <c r="BM109" t="s">
        <v>205</v>
      </c>
      <c r="BQ109" t="s">
        <v>240</v>
      </c>
      <c r="BV109" t="s">
        <v>347</v>
      </c>
      <c r="BZ109" t="s">
        <v>323</v>
      </c>
      <c r="CN109" t="s">
        <v>388</v>
      </c>
      <c r="CR109" t="s">
        <v>426</v>
      </c>
    </row>
    <row r="110" spans="11:96" x14ac:dyDescent="0.4">
      <c r="K110" t="s">
        <v>99</v>
      </c>
      <c r="BM110" t="s">
        <v>282</v>
      </c>
      <c r="BQ110" t="s">
        <v>234</v>
      </c>
      <c r="BV110" t="s">
        <v>340</v>
      </c>
      <c r="BZ110" t="s">
        <v>362</v>
      </c>
      <c r="CN110" t="s">
        <v>389</v>
      </c>
      <c r="CR110" t="s">
        <v>427</v>
      </c>
    </row>
    <row r="111" spans="11:96" x14ac:dyDescent="0.4">
      <c r="K111" t="s">
        <v>100</v>
      </c>
      <c r="BM111" t="s">
        <v>283</v>
      </c>
      <c r="BQ111" t="s">
        <v>313</v>
      </c>
      <c r="BV111" t="s">
        <v>250</v>
      </c>
      <c r="BZ111" t="s">
        <v>363</v>
      </c>
      <c r="CN111" t="s">
        <v>390</v>
      </c>
      <c r="CR111" t="s">
        <v>428</v>
      </c>
    </row>
    <row r="112" spans="11:96" x14ac:dyDescent="0.4">
      <c r="K112" t="s">
        <v>101</v>
      </c>
      <c r="BM112" t="s">
        <v>284</v>
      </c>
      <c r="BQ112" t="s">
        <v>314</v>
      </c>
      <c r="BV112" t="s">
        <v>348</v>
      </c>
      <c r="BZ112" t="s">
        <v>324</v>
      </c>
      <c r="CN112" t="s">
        <v>261</v>
      </c>
      <c r="CR112" t="s">
        <v>410</v>
      </c>
    </row>
    <row r="113" spans="11:96" x14ac:dyDescent="0.4">
      <c r="K113" t="s">
        <v>98</v>
      </c>
      <c r="BM113" t="s">
        <v>285</v>
      </c>
      <c r="BQ113" t="s">
        <v>310</v>
      </c>
      <c r="BV113" t="s">
        <v>349</v>
      </c>
      <c r="BZ113" t="s">
        <v>364</v>
      </c>
      <c r="CN113" t="s">
        <v>216</v>
      </c>
      <c r="CR113" t="s">
        <v>226</v>
      </c>
    </row>
    <row r="114" spans="11:96" x14ac:dyDescent="0.4">
      <c r="BM114" t="s">
        <v>206</v>
      </c>
      <c r="BQ114" t="s">
        <v>241</v>
      </c>
      <c r="BV114" t="s">
        <v>350</v>
      </c>
      <c r="BZ114" t="s">
        <v>365</v>
      </c>
      <c r="CN114" t="s">
        <v>391</v>
      </c>
      <c r="CR114" t="s">
        <v>429</v>
      </c>
    </row>
    <row r="115" spans="11:96" x14ac:dyDescent="0.4">
      <c r="BM115" t="s">
        <v>286</v>
      </c>
      <c r="BQ115" t="s">
        <v>231</v>
      </c>
      <c r="BV115" t="s">
        <v>251</v>
      </c>
      <c r="BZ115" t="s">
        <v>325</v>
      </c>
      <c r="CN115" t="s">
        <v>392</v>
      </c>
      <c r="CR115" t="s">
        <v>430</v>
      </c>
    </row>
    <row r="116" spans="11:96" x14ac:dyDescent="0.4">
      <c r="BM116" t="s">
        <v>287</v>
      </c>
      <c r="BQ116" t="s">
        <v>315</v>
      </c>
      <c r="BV116" t="s">
        <v>351</v>
      </c>
      <c r="BZ116" t="s">
        <v>366</v>
      </c>
      <c r="CN116" t="s">
        <v>393</v>
      </c>
      <c r="CR116" t="s">
        <v>431</v>
      </c>
    </row>
    <row r="117" spans="11:96" x14ac:dyDescent="0.4">
      <c r="BM117" t="s">
        <v>288</v>
      </c>
      <c r="BQ117" t="s">
        <v>316</v>
      </c>
      <c r="BV117" t="s">
        <v>352</v>
      </c>
      <c r="BZ117" t="s">
        <v>363</v>
      </c>
      <c r="CN117" t="s">
        <v>394</v>
      </c>
      <c r="CR117" t="s">
        <v>432</v>
      </c>
    </row>
    <row r="118" spans="11:96" x14ac:dyDescent="0.4">
      <c r="BM118" t="s">
        <v>289</v>
      </c>
      <c r="BQ118" t="s">
        <v>307</v>
      </c>
      <c r="BV118" t="s">
        <v>353</v>
      </c>
      <c r="BZ118" t="s">
        <v>326</v>
      </c>
      <c r="CN118" t="s">
        <v>217</v>
      </c>
      <c r="CR118" t="s">
        <v>227</v>
      </c>
    </row>
    <row r="119" spans="11:96" x14ac:dyDescent="0.4">
      <c r="BM119" t="s">
        <v>207</v>
      </c>
      <c r="BV119" t="s">
        <v>252</v>
      </c>
      <c r="BZ119" t="s">
        <v>367</v>
      </c>
      <c r="CN119" t="s">
        <v>395</v>
      </c>
      <c r="CR119" t="s">
        <v>433</v>
      </c>
    </row>
    <row r="120" spans="11:96" x14ac:dyDescent="0.4">
      <c r="BM120" t="s">
        <v>290</v>
      </c>
      <c r="BV120" t="s">
        <v>253</v>
      </c>
      <c r="BZ120" t="s">
        <v>363</v>
      </c>
      <c r="CN120" t="s">
        <v>396</v>
      </c>
      <c r="CR120" t="s">
        <v>434</v>
      </c>
    </row>
    <row r="121" spans="11:96" x14ac:dyDescent="0.4">
      <c r="BM121" t="s">
        <v>291</v>
      </c>
      <c r="CN121" t="s">
        <v>397</v>
      </c>
      <c r="CR121" t="s">
        <v>435</v>
      </c>
    </row>
    <row r="122" spans="11:96" x14ac:dyDescent="0.4">
      <c r="BM122" t="s">
        <v>292</v>
      </c>
      <c r="CN122" t="s">
        <v>398</v>
      </c>
      <c r="CR122" t="s">
        <v>436</v>
      </c>
    </row>
    <row r="123" spans="11:96" x14ac:dyDescent="0.4">
      <c r="BM123" t="s">
        <v>289</v>
      </c>
      <c r="CN123" t="s">
        <v>218</v>
      </c>
      <c r="CR123" t="s">
        <v>228</v>
      </c>
    </row>
    <row r="124" spans="11:96" x14ac:dyDescent="0.4">
      <c r="CN124" t="s">
        <v>399</v>
      </c>
      <c r="CR124" t="s">
        <v>437</v>
      </c>
    </row>
    <row r="125" spans="11:96" x14ac:dyDescent="0.4">
      <c r="CN125" t="s">
        <v>400</v>
      </c>
      <c r="CR125" t="s">
        <v>438</v>
      </c>
    </row>
    <row r="126" spans="11:96" x14ac:dyDescent="0.4">
      <c r="CN126" t="s">
        <v>401</v>
      </c>
      <c r="CR126" t="s">
        <v>439</v>
      </c>
    </row>
    <row r="127" spans="11:96" x14ac:dyDescent="0.4">
      <c r="CN127" t="s">
        <v>402</v>
      </c>
      <c r="CR127" t="s">
        <v>440</v>
      </c>
    </row>
    <row r="128" spans="11:96" x14ac:dyDescent="0.4">
      <c r="CR128" t="s">
        <v>229</v>
      </c>
    </row>
    <row r="129" spans="96:96" x14ac:dyDescent="0.4">
      <c r="CR129" t="s">
        <v>441</v>
      </c>
    </row>
    <row r="130" spans="96:96" x14ac:dyDescent="0.4">
      <c r="CR130" t="s">
        <v>442</v>
      </c>
    </row>
    <row r="131" spans="96:96" x14ac:dyDescent="0.4">
      <c r="CR131" t="s">
        <v>443</v>
      </c>
    </row>
    <row r="132" spans="96:96" x14ac:dyDescent="0.4">
      <c r="CR132" t="s">
        <v>444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2025-05-17T09:11:24Z</dcterms:modified>
</cp:coreProperties>
</file>