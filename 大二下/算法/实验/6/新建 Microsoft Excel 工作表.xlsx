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深大\课程\大二下   课\算法\实验\6\"/>
    </mc:Choice>
  </mc:AlternateContent>
  <xr:revisionPtr revIDLastSave="0" documentId="13_ncr:1_{31CC8ADA-761D-4E61-BD3E-8FB4B0E94B1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N15" i="1"/>
  <c r="G14" i="1"/>
  <c r="G15" i="1"/>
  <c r="D14" i="1"/>
  <c r="D15" i="1"/>
  <c r="N13" i="1"/>
  <c r="G13" i="1"/>
  <c r="D13" i="1"/>
</calcChain>
</file>

<file path=xl/sharedStrings.xml><?xml version="1.0" encoding="utf-8"?>
<sst xmlns="http://schemas.openxmlformats.org/spreadsheetml/2006/main" count="26" uniqueCount="10">
  <si>
    <t>4a</t>
    <phoneticPr fontId="1" type="noConversion"/>
  </si>
  <si>
    <t>4b</t>
    <phoneticPr fontId="1" type="noConversion"/>
  </si>
  <si>
    <t>5a</t>
    <phoneticPr fontId="1" type="noConversion"/>
  </si>
  <si>
    <t>5b</t>
    <phoneticPr fontId="1" type="noConversion"/>
  </si>
  <si>
    <t>5c</t>
    <phoneticPr fontId="1" type="noConversion"/>
  </si>
  <si>
    <t>12-a</t>
    <phoneticPr fontId="1" type="noConversion"/>
  </si>
  <si>
    <t>n</t>
    <phoneticPr fontId="1" type="noConversion"/>
  </si>
  <si>
    <t>dinic</t>
    <phoneticPr fontId="1" type="noConversion"/>
  </si>
  <si>
    <t>ek</t>
    <phoneticPr fontId="1" type="noConversion"/>
  </si>
  <si>
    <t>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</si>
</sst>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比较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dinic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Sheet1!$C$6:$Y$6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4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3">
                  <c:v>24</c:v>
                </c:pt>
                <c:pt idx="14">
                  <c:v>29</c:v>
                </c:pt>
                <c:pt idx="15">
                  <c:v>30</c:v>
                </c:pt>
                <c:pt idx="16">
                  <c:v>32</c:v>
                </c:pt>
                <c:pt idx="17">
                  <c:v>36</c:v>
                </c:pt>
                <c:pt idx="18">
                  <c:v>42</c:v>
                </c:pt>
                <c:pt idx="19">
                  <c:v>48</c:v>
                </c:pt>
                <c:pt idx="20">
                  <c:v>50</c:v>
                </c:pt>
                <c:pt idx="21">
                  <c:v>54</c:v>
                </c:pt>
                <c:pt idx="22">
                  <c:v>60</c:v>
                </c:pt>
              </c:numCache>
            </c:numRef>
          </c:xVal>
          <c:yVal>
            <c:numRef>
              <c:f>Sheet1!$C$13:$Y$13</c:f>
              <c:numCache>
                <c:formatCode>General</c:formatCode>
                <c:ptCount val="23"/>
                <c:pt idx="0">
                  <c:v>0.77849999999999997</c:v>
                </c:pt>
                <c:pt idx="1">
                  <c:v>7.1950833333333337</c:v>
                </c:pt>
                <c:pt idx="4">
                  <c:v>16.388224999999998</c:v>
                </c:pt>
                <c:pt idx="8">
                  <c:v>34.914099999999998</c:v>
                </c:pt>
                <c:pt idx="9">
                  <c:v>47.835299999999997</c:v>
                </c:pt>
                <c:pt idx="10">
                  <c:v>86.179500000000004</c:v>
                </c:pt>
                <c:pt idx="11">
                  <c:v>71.614249999999998</c:v>
                </c:pt>
                <c:pt idx="13">
                  <c:v>652.42600000000004</c:v>
                </c:pt>
                <c:pt idx="14">
                  <c:v>1834.17</c:v>
                </c:pt>
                <c:pt idx="15">
                  <c:v>2099.48</c:v>
                </c:pt>
                <c:pt idx="16">
                  <c:v>1978.73</c:v>
                </c:pt>
                <c:pt idx="17">
                  <c:v>3366.21</c:v>
                </c:pt>
                <c:pt idx="18">
                  <c:v>4157.3900000000003</c:v>
                </c:pt>
                <c:pt idx="19">
                  <c:v>6245.83</c:v>
                </c:pt>
                <c:pt idx="20">
                  <c:v>15050.3</c:v>
                </c:pt>
                <c:pt idx="21">
                  <c:v>9284.93</c:v>
                </c:pt>
                <c:pt idx="22">
                  <c:v>8728.33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D6-49BB-AC9C-D7BF465512DF}"/>
            </c:ext>
          </c:extLst>
        </c:ser>
        <c:ser>
          <c:idx val="1"/>
          <c:order val="1"/>
          <c:tx>
            <c:v>ek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Sheet1!$C$6:$Y$6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4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3">
                  <c:v>24</c:v>
                </c:pt>
                <c:pt idx="14">
                  <c:v>29</c:v>
                </c:pt>
                <c:pt idx="15">
                  <c:v>30</c:v>
                </c:pt>
                <c:pt idx="16">
                  <c:v>32</c:v>
                </c:pt>
                <c:pt idx="17">
                  <c:v>36</c:v>
                </c:pt>
                <c:pt idx="18">
                  <c:v>42</c:v>
                </c:pt>
                <c:pt idx="19">
                  <c:v>48</c:v>
                </c:pt>
                <c:pt idx="20">
                  <c:v>50</c:v>
                </c:pt>
                <c:pt idx="21">
                  <c:v>54</c:v>
                </c:pt>
                <c:pt idx="22">
                  <c:v>60</c:v>
                </c:pt>
              </c:numCache>
            </c:numRef>
          </c:xVal>
          <c:yVal>
            <c:numRef>
              <c:f>Sheet1!$C$14:$Y$14</c:f>
              <c:numCache>
                <c:formatCode>General</c:formatCode>
                <c:ptCount val="23"/>
                <c:pt idx="0">
                  <c:v>0.73729999999999996</c:v>
                </c:pt>
                <c:pt idx="1">
                  <c:v>8.8746666666666663</c:v>
                </c:pt>
                <c:pt idx="4">
                  <c:v>32.709724999999999</c:v>
                </c:pt>
                <c:pt idx="8">
                  <c:v>104.547</c:v>
                </c:pt>
                <c:pt idx="9">
                  <c:v>80.441900000000004</c:v>
                </c:pt>
                <c:pt idx="10">
                  <c:v>647.21600000000001</c:v>
                </c:pt>
                <c:pt idx="11">
                  <c:v>450.93774999999999</c:v>
                </c:pt>
                <c:pt idx="13">
                  <c:v>36182.800000000003</c:v>
                </c:pt>
                <c:pt idx="14">
                  <c:v>183969</c:v>
                </c:pt>
                <c:pt idx="15">
                  <c:v>239979</c:v>
                </c:pt>
                <c:pt idx="16">
                  <c:v>247252</c:v>
                </c:pt>
                <c:pt idx="17">
                  <c:v>606902</c:v>
                </c:pt>
                <c:pt idx="18">
                  <c:v>439903</c:v>
                </c:pt>
                <c:pt idx="19">
                  <c:v>725828</c:v>
                </c:pt>
                <c:pt idx="20" formatCode="0.00E+00">
                  <c:v>33766400</c:v>
                </c:pt>
                <c:pt idx="21" formatCode="0.00E+00">
                  <c:v>1504540</c:v>
                </c:pt>
                <c:pt idx="22" formatCode="0.00E+00">
                  <c:v>1740090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D6-49BB-AC9C-D7BF465512DF}"/>
            </c:ext>
          </c:extLst>
        </c:ser>
        <c:ser>
          <c:idx val="2"/>
          <c:order val="2"/>
          <c:tx>
            <c:v>ff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Sheet1!$C$6:$Y$6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4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3">
                  <c:v>24</c:v>
                </c:pt>
                <c:pt idx="14">
                  <c:v>29</c:v>
                </c:pt>
                <c:pt idx="15">
                  <c:v>30</c:v>
                </c:pt>
                <c:pt idx="16">
                  <c:v>32</c:v>
                </c:pt>
                <c:pt idx="17">
                  <c:v>36</c:v>
                </c:pt>
                <c:pt idx="18">
                  <c:v>42</c:v>
                </c:pt>
                <c:pt idx="19">
                  <c:v>48</c:v>
                </c:pt>
                <c:pt idx="20">
                  <c:v>50</c:v>
                </c:pt>
                <c:pt idx="21">
                  <c:v>54</c:v>
                </c:pt>
                <c:pt idx="22">
                  <c:v>60</c:v>
                </c:pt>
              </c:numCache>
            </c:numRef>
          </c:xVal>
          <c:yVal>
            <c:numRef>
              <c:f>Sheet1!$C$15:$Y$15</c:f>
              <c:numCache>
                <c:formatCode>General</c:formatCode>
                <c:ptCount val="23"/>
                <c:pt idx="0">
                  <c:v>1.8274999999999999</c:v>
                </c:pt>
                <c:pt idx="1">
                  <c:v>8.2149333333333345</c:v>
                </c:pt>
                <c:pt idx="4">
                  <c:v>29.476974999999999</c:v>
                </c:pt>
                <c:pt idx="8">
                  <c:v>79.091300000000004</c:v>
                </c:pt>
                <c:pt idx="9">
                  <c:v>67.744399999999999</c:v>
                </c:pt>
                <c:pt idx="10">
                  <c:v>324.68599999999998</c:v>
                </c:pt>
                <c:pt idx="11">
                  <c:v>170.67185000000001</c:v>
                </c:pt>
                <c:pt idx="13">
                  <c:v>2891.37</c:v>
                </c:pt>
                <c:pt idx="14">
                  <c:v>13777.7</c:v>
                </c:pt>
                <c:pt idx="15">
                  <c:v>11723.7</c:v>
                </c:pt>
                <c:pt idx="16">
                  <c:v>12666.4</c:v>
                </c:pt>
                <c:pt idx="17">
                  <c:v>23164.799999999999</c:v>
                </c:pt>
                <c:pt idx="18">
                  <c:v>20484.900000000001</c:v>
                </c:pt>
                <c:pt idx="19">
                  <c:v>39682.6</c:v>
                </c:pt>
                <c:pt idx="20">
                  <c:v>211658</c:v>
                </c:pt>
                <c:pt idx="21">
                  <c:v>60456.5</c:v>
                </c:pt>
                <c:pt idx="22">
                  <c:v>48844.1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55-4FDD-AF5E-070965410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388415"/>
        <c:axId val="1222387455"/>
      </c:scatterChart>
      <c:valAx>
        <c:axId val="122238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87455"/>
        <c:crosses val="autoZero"/>
        <c:crossBetween val="midCat"/>
      </c:valAx>
      <c:valAx>
        <c:axId val="12223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88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dinic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Sheet1!$C$6:$Y$6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4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3">
                  <c:v>24</c:v>
                </c:pt>
                <c:pt idx="14">
                  <c:v>29</c:v>
                </c:pt>
                <c:pt idx="15">
                  <c:v>30</c:v>
                </c:pt>
                <c:pt idx="16">
                  <c:v>32</c:v>
                </c:pt>
                <c:pt idx="17">
                  <c:v>36</c:v>
                </c:pt>
                <c:pt idx="18">
                  <c:v>42</c:v>
                </c:pt>
                <c:pt idx="19">
                  <c:v>48</c:v>
                </c:pt>
                <c:pt idx="20">
                  <c:v>50</c:v>
                </c:pt>
                <c:pt idx="21">
                  <c:v>54</c:v>
                </c:pt>
                <c:pt idx="22">
                  <c:v>60</c:v>
                </c:pt>
              </c:numCache>
            </c:numRef>
          </c:xVal>
          <c:yVal>
            <c:numRef>
              <c:f>Sheet1!$C$13:$Y$13</c:f>
              <c:numCache>
                <c:formatCode>General</c:formatCode>
                <c:ptCount val="23"/>
                <c:pt idx="0">
                  <c:v>0.77849999999999997</c:v>
                </c:pt>
                <c:pt idx="1">
                  <c:v>7.1950833333333337</c:v>
                </c:pt>
                <c:pt idx="4">
                  <c:v>16.388224999999998</c:v>
                </c:pt>
                <c:pt idx="8">
                  <c:v>34.914099999999998</c:v>
                </c:pt>
                <c:pt idx="9">
                  <c:v>47.835299999999997</c:v>
                </c:pt>
                <c:pt idx="10">
                  <c:v>86.179500000000004</c:v>
                </c:pt>
                <c:pt idx="11">
                  <c:v>71.614249999999998</c:v>
                </c:pt>
                <c:pt idx="13">
                  <c:v>652.42600000000004</c:v>
                </c:pt>
                <c:pt idx="14">
                  <c:v>1834.17</c:v>
                </c:pt>
                <c:pt idx="15">
                  <c:v>2099.48</c:v>
                </c:pt>
                <c:pt idx="16">
                  <c:v>1978.73</c:v>
                </c:pt>
                <c:pt idx="17">
                  <c:v>3366.21</c:v>
                </c:pt>
                <c:pt idx="18">
                  <c:v>4157.3900000000003</c:v>
                </c:pt>
                <c:pt idx="19">
                  <c:v>6245.83</c:v>
                </c:pt>
                <c:pt idx="20">
                  <c:v>15050.3</c:v>
                </c:pt>
                <c:pt idx="21">
                  <c:v>9284.93</c:v>
                </c:pt>
                <c:pt idx="22">
                  <c:v>8728.33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85-4CD1-82EC-2A213573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671488"/>
        <c:axId val="408667648"/>
      </c:scatterChart>
      <c:valAx>
        <c:axId val="40867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8667648"/>
        <c:crosses val="autoZero"/>
        <c:crossBetween val="midCat"/>
      </c:valAx>
      <c:valAx>
        <c:axId val="40866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867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ek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Sheet1!$C$6:$Y$6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4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3">
                  <c:v>24</c:v>
                </c:pt>
                <c:pt idx="14">
                  <c:v>29</c:v>
                </c:pt>
                <c:pt idx="15">
                  <c:v>30</c:v>
                </c:pt>
                <c:pt idx="16">
                  <c:v>32</c:v>
                </c:pt>
                <c:pt idx="17">
                  <c:v>36</c:v>
                </c:pt>
                <c:pt idx="18">
                  <c:v>42</c:v>
                </c:pt>
                <c:pt idx="19">
                  <c:v>48</c:v>
                </c:pt>
                <c:pt idx="20">
                  <c:v>50</c:v>
                </c:pt>
                <c:pt idx="21">
                  <c:v>54</c:v>
                </c:pt>
                <c:pt idx="22">
                  <c:v>60</c:v>
                </c:pt>
              </c:numCache>
            </c:numRef>
          </c:xVal>
          <c:yVal>
            <c:numRef>
              <c:f>Sheet1!$C$14:$Y$14</c:f>
              <c:numCache>
                <c:formatCode>General</c:formatCode>
                <c:ptCount val="23"/>
                <c:pt idx="0">
                  <c:v>0.73729999999999996</c:v>
                </c:pt>
                <c:pt idx="1">
                  <c:v>8.8746666666666663</c:v>
                </c:pt>
                <c:pt idx="4">
                  <c:v>32.709724999999999</c:v>
                </c:pt>
                <c:pt idx="8">
                  <c:v>104.547</c:v>
                </c:pt>
                <c:pt idx="9">
                  <c:v>80.441900000000004</c:v>
                </c:pt>
                <c:pt idx="10">
                  <c:v>647.21600000000001</c:v>
                </c:pt>
                <c:pt idx="11">
                  <c:v>450.93774999999999</c:v>
                </c:pt>
                <c:pt idx="13">
                  <c:v>36182.800000000003</c:v>
                </c:pt>
                <c:pt idx="14">
                  <c:v>183969</c:v>
                </c:pt>
                <c:pt idx="15">
                  <c:v>239979</c:v>
                </c:pt>
                <c:pt idx="16">
                  <c:v>247252</c:v>
                </c:pt>
                <c:pt idx="17">
                  <c:v>606902</c:v>
                </c:pt>
                <c:pt idx="18">
                  <c:v>439903</c:v>
                </c:pt>
                <c:pt idx="19">
                  <c:v>725828</c:v>
                </c:pt>
                <c:pt idx="20" formatCode="0.00E+00">
                  <c:v>33766400</c:v>
                </c:pt>
                <c:pt idx="21" formatCode="0.00E+00">
                  <c:v>1504540</c:v>
                </c:pt>
                <c:pt idx="22" formatCode="0.00E+00">
                  <c:v>1740090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70-45EF-9522-50FFB543A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570896"/>
        <c:axId val="857561296"/>
      </c:scatterChart>
      <c:valAx>
        <c:axId val="85757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7561296"/>
        <c:crosses val="autoZero"/>
        <c:crossBetween val="midCat"/>
      </c:valAx>
      <c:valAx>
        <c:axId val="8575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757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ff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Sheet1!$C$6:$Y$6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4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3">
                  <c:v>24</c:v>
                </c:pt>
                <c:pt idx="14">
                  <c:v>29</c:v>
                </c:pt>
                <c:pt idx="15">
                  <c:v>30</c:v>
                </c:pt>
                <c:pt idx="16">
                  <c:v>32</c:v>
                </c:pt>
                <c:pt idx="17">
                  <c:v>36</c:v>
                </c:pt>
                <c:pt idx="18">
                  <c:v>42</c:v>
                </c:pt>
                <c:pt idx="19">
                  <c:v>48</c:v>
                </c:pt>
                <c:pt idx="20">
                  <c:v>50</c:v>
                </c:pt>
                <c:pt idx="21">
                  <c:v>54</c:v>
                </c:pt>
                <c:pt idx="22">
                  <c:v>60</c:v>
                </c:pt>
              </c:numCache>
            </c:numRef>
          </c:xVal>
          <c:yVal>
            <c:numRef>
              <c:f>Sheet1!$C$15:$Y$15</c:f>
              <c:numCache>
                <c:formatCode>General</c:formatCode>
                <c:ptCount val="23"/>
                <c:pt idx="0">
                  <c:v>1.8274999999999999</c:v>
                </c:pt>
                <c:pt idx="1">
                  <c:v>8.2149333333333345</c:v>
                </c:pt>
                <c:pt idx="4">
                  <c:v>29.476974999999999</c:v>
                </c:pt>
                <c:pt idx="8">
                  <c:v>79.091300000000004</c:v>
                </c:pt>
                <c:pt idx="9">
                  <c:v>67.744399999999999</c:v>
                </c:pt>
                <c:pt idx="10">
                  <c:v>324.68599999999998</c:v>
                </c:pt>
                <c:pt idx="11">
                  <c:v>170.67185000000001</c:v>
                </c:pt>
                <c:pt idx="13">
                  <c:v>2891.37</c:v>
                </c:pt>
                <c:pt idx="14">
                  <c:v>13777.7</c:v>
                </c:pt>
                <c:pt idx="15">
                  <c:v>11723.7</c:v>
                </c:pt>
                <c:pt idx="16">
                  <c:v>12666.4</c:v>
                </c:pt>
                <c:pt idx="17">
                  <c:v>23164.799999999999</c:v>
                </c:pt>
                <c:pt idx="18">
                  <c:v>20484.900000000001</c:v>
                </c:pt>
                <c:pt idx="19">
                  <c:v>39682.6</c:v>
                </c:pt>
                <c:pt idx="20">
                  <c:v>211658</c:v>
                </c:pt>
                <c:pt idx="21">
                  <c:v>60456.5</c:v>
                </c:pt>
                <c:pt idx="22">
                  <c:v>48844.1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7D-4663-9A03-B4A806B59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670528"/>
        <c:axId val="408671008"/>
      </c:scatterChart>
      <c:valAx>
        <c:axId val="40867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8671008"/>
        <c:crosses val="autoZero"/>
        <c:crossBetween val="midCat"/>
      </c:valAx>
      <c:valAx>
        <c:axId val="4086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867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比较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dinic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Sheet1!$C$6:$Y$6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4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3">
                  <c:v>24</c:v>
                </c:pt>
                <c:pt idx="14">
                  <c:v>29</c:v>
                </c:pt>
                <c:pt idx="15">
                  <c:v>30</c:v>
                </c:pt>
                <c:pt idx="16">
                  <c:v>32</c:v>
                </c:pt>
                <c:pt idx="17">
                  <c:v>36</c:v>
                </c:pt>
                <c:pt idx="18">
                  <c:v>42</c:v>
                </c:pt>
                <c:pt idx="19">
                  <c:v>48</c:v>
                </c:pt>
                <c:pt idx="20">
                  <c:v>50</c:v>
                </c:pt>
                <c:pt idx="21">
                  <c:v>54</c:v>
                </c:pt>
                <c:pt idx="22">
                  <c:v>60</c:v>
                </c:pt>
              </c:numCache>
            </c:numRef>
          </c:xVal>
          <c:yVal>
            <c:numRef>
              <c:f>Sheet1!$C$13:$Y$13</c:f>
              <c:numCache>
                <c:formatCode>General</c:formatCode>
                <c:ptCount val="23"/>
                <c:pt idx="0">
                  <c:v>0.77849999999999997</c:v>
                </c:pt>
                <c:pt idx="1">
                  <c:v>7.1950833333333337</c:v>
                </c:pt>
                <c:pt idx="4">
                  <c:v>16.388224999999998</c:v>
                </c:pt>
                <c:pt idx="8">
                  <c:v>34.914099999999998</c:v>
                </c:pt>
                <c:pt idx="9">
                  <c:v>47.835299999999997</c:v>
                </c:pt>
                <c:pt idx="10">
                  <c:v>86.179500000000004</c:v>
                </c:pt>
                <c:pt idx="11">
                  <c:v>71.614249999999998</c:v>
                </c:pt>
                <c:pt idx="13">
                  <c:v>652.42600000000004</c:v>
                </c:pt>
                <c:pt idx="14">
                  <c:v>1834.17</c:v>
                </c:pt>
                <c:pt idx="15">
                  <c:v>2099.48</c:v>
                </c:pt>
                <c:pt idx="16">
                  <c:v>1978.73</c:v>
                </c:pt>
                <c:pt idx="17">
                  <c:v>3366.21</c:v>
                </c:pt>
                <c:pt idx="18">
                  <c:v>4157.3900000000003</c:v>
                </c:pt>
                <c:pt idx="19">
                  <c:v>6245.83</c:v>
                </c:pt>
                <c:pt idx="20">
                  <c:v>15050.3</c:v>
                </c:pt>
                <c:pt idx="21">
                  <c:v>9284.93</c:v>
                </c:pt>
                <c:pt idx="22">
                  <c:v>8728.33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39-43CC-8301-0B0B711CA1C8}"/>
            </c:ext>
          </c:extLst>
        </c:ser>
        <c:ser>
          <c:idx val="2"/>
          <c:order val="1"/>
          <c:tx>
            <c:v>ff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Sheet1!$C$6:$Y$6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4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3">
                  <c:v>24</c:v>
                </c:pt>
                <c:pt idx="14">
                  <c:v>29</c:v>
                </c:pt>
                <c:pt idx="15">
                  <c:v>30</c:v>
                </c:pt>
                <c:pt idx="16">
                  <c:v>32</c:v>
                </c:pt>
                <c:pt idx="17">
                  <c:v>36</c:v>
                </c:pt>
                <c:pt idx="18">
                  <c:v>42</c:v>
                </c:pt>
                <c:pt idx="19">
                  <c:v>48</c:v>
                </c:pt>
                <c:pt idx="20">
                  <c:v>50</c:v>
                </c:pt>
                <c:pt idx="21">
                  <c:v>54</c:v>
                </c:pt>
                <c:pt idx="22">
                  <c:v>60</c:v>
                </c:pt>
              </c:numCache>
            </c:numRef>
          </c:xVal>
          <c:yVal>
            <c:numRef>
              <c:f>Sheet1!$C$15:$Y$15</c:f>
              <c:numCache>
                <c:formatCode>General</c:formatCode>
                <c:ptCount val="23"/>
                <c:pt idx="0">
                  <c:v>1.8274999999999999</c:v>
                </c:pt>
                <c:pt idx="1">
                  <c:v>8.2149333333333345</c:v>
                </c:pt>
                <c:pt idx="4">
                  <c:v>29.476974999999999</c:v>
                </c:pt>
                <c:pt idx="8">
                  <c:v>79.091300000000004</c:v>
                </c:pt>
                <c:pt idx="9">
                  <c:v>67.744399999999999</c:v>
                </c:pt>
                <c:pt idx="10">
                  <c:v>324.68599999999998</c:v>
                </c:pt>
                <c:pt idx="11">
                  <c:v>170.67185000000001</c:v>
                </c:pt>
                <c:pt idx="13">
                  <c:v>2891.37</c:v>
                </c:pt>
                <c:pt idx="14">
                  <c:v>13777.7</c:v>
                </c:pt>
                <c:pt idx="15">
                  <c:v>11723.7</c:v>
                </c:pt>
                <c:pt idx="16">
                  <c:v>12666.4</c:v>
                </c:pt>
                <c:pt idx="17">
                  <c:v>23164.799999999999</c:v>
                </c:pt>
                <c:pt idx="18">
                  <c:v>20484.900000000001</c:v>
                </c:pt>
                <c:pt idx="19">
                  <c:v>39682.6</c:v>
                </c:pt>
                <c:pt idx="20">
                  <c:v>211658</c:v>
                </c:pt>
                <c:pt idx="21">
                  <c:v>60456.5</c:v>
                </c:pt>
                <c:pt idx="22">
                  <c:v>48844.1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39-43CC-8301-0B0B711CA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388415"/>
        <c:axId val="1222387455"/>
      </c:scatterChart>
      <c:valAx>
        <c:axId val="122238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87455"/>
        <c:crosses val="autoZero"/>
        <c:crossBetween val="midCat"/>
      </c:valAx>
      <c:valAx>
        <c:axId val="12223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88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559593</xdr:colOff>
      <xdr:row>19</xdr:row>
      <xdr:rowOff>64292</xdr:rowOff>
    </xdr:from>
    <xdr:to>
      <xdr:col>8</xdr:col>
      <xdr:colOff>597693</xdr:colOff>
      <xdr:row>34</xdr:row>
      <xdr:rowOff>164305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E193E55-71C5-C9E5-ADF4-460EF4A16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231289</xdr:colOff>
      <xdr:row>18</xdr:row>
      <xdr:rowOff>165789</xdr:rowOff>
    </xdr:from>
    <xdr:to>
      <xdr:col>31</xdr:col>
      <xdr:colOff>269389</xdr:colOff>
      <xdr:row>34</xdr:row>
      <xdr:rowOff>88909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7282967-3583-F6A3-A642-6F84A9A9D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121444</xdr:colOff>
      <xdr:row>19</xdr:row>
      <xdr:rowOff>11905</xdr:rowOff>
    </xdr:from>
    <xdr:to>
      <xdr:col>24</xdr:col>
      <xdr:colOff>159544</xdr:colOff>
      <xdr:row>34</xdr:row>
      <xdr:rowOff>111918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8914ADE-AF90-C5E8-BD8E-0359E7D86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44564</xdr:colOff>
      <xdr:row>18</xdr:row>
      <xdr:rowOff>169069</xdr:rowOff>
    </xdr:from>
    <xdr:to>
      <xdr:col>17</xdr:col>
      <xdr:colOff>82663</xdr:colOff>
      <xdr:row>34</xdr:row>
      <xdr:rowOff>92869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97E5B33-87C1-0BB4-4F5E-DDF0A191A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537882</xdr:colOff>
      <xdr:row>37</xdr:row>
      <xdr:rowOff>50426</xdr:rowOff>
    </xdr:from>
    <xdr:to>
      <xdr:col>8</xdr:col>
      <xdr:colOff>575982</xdr:colOff>
      <xdr:row>52</xdr:row>
      <xdr:rowOff>150439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E489C2B-4F6D-4531-B529-4FC39997C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L17"/>
  <sheetViews>
    <sheetView tabSelected="1" topLeftCell="P1" zoomScale="85" zoomScaleNormal="85" workbookViewId="0">
      <selection activeCell="AI27" sqref="AI27"/>
    </sheetView>
  </sheetViews>
  <sheetFormatPr defaultRowHeight="13.9" x14ac:dyDescent="0.4"/>
  <sheetData>
    <row r="4" spans="2:38" x14ac:dyDescent="0.4">
      <c r="AD4" t="s">
        <v>6</v>
      </c>
      <c r="AE4">
        <v>1</v>
      </c>
      <c r="AF4" s="2">
        <v>4</v>
      </c>
      <c r="AG4" s="2"/>
      <c r="AH4" s="2"/>
      <c r="AI4" s="2">
        <v>5</v>
      </c>
      <c r="AJ4" s="2"/>
      <c r="AK4" s="2"/>
      <c r="AL4" s="2"/>
    </row>
    <row r="5" spans="2:38" x14ac:dyDescent="0.4">
      <c r="AE5">
        <v>1</v>
      </c>
      <c r="AF5">
        <v>4</v>
      </c>
      <c r="AG5" t="s">
        <v>0</v>
      </c>
      <c r="AH5" t="s">
        <v>1</v>
      </c>
      <c r="AI5">
        <v>5</v>
      </c>
      <c r="AJ5" t="s">
        <v>2</v>
      </c>
      <c r="AK5" t="s">
        <v>3</v>
      </c>
      <c r="AL5" t="s">
        <v>4</v>
      </c>
    </row>
    <row r="6" spans="2:38" x14ac:dyDescent="0.4">
      <c r="B6" t="s">
        <v>6</v>
      </c>
      <c r="C6">
        <v>1</v>
      </c>
      <c r="D6" s="2">
        <v>4</v>
      </c>
      <c r="E6" s="2"/>
      <c r="F6" s="2"/>
      <c r="G6" s="2">
        <v>5</v>
      </c>
      <c r="H6" s="2"/>
      <c r="I6" s="2"/>
      <c r="J6" s="2"/>
      <c r="K6">
        <v>7</v>
      </c>
      <c r="L6">
        <v>8</v>
      </c>
      <c r="M6">
        <v>10</v>
      </c>
      <c r="N6" s="2">
        <v>12</v>
      </c>
      <c r="O6" s="2"/>
      <c r="P6">
        <v>24</v>
      </c>
      <c r="Q6">
        <v>29</v>
      </c>
      <c r="R6">
        <v>30</v>
      </c>
      <c r="S6">
        <v>32</v>
      </c>
      <c r="T6">
        <v>36</v>
      </c>
      <c r="U6">
        <v>42</v>
      </c>
      <c r="V6">
        <v>48</v>
      </c>
      <c r="W6">
        <v>50</v>
      </c>
      <c r="X6">
        <v>54</v>
      </c>
      <c r="Y6">
        <v>60</v>
      </c>
      <c r="AD6" t="s">
        <v>7</v>
      </c>
      <c r="AE6">
        <v>0.77849999999999997</v>
      </c>
      <c r="AF6">
        <v>10.5067</v>
      </c>
      <c r="AG6">
        <v>8.0889199999999999</v>
      </c>
      <c r="AH6">
        <v>2.98963</v>
      </c>
      <c r="AI6">
        <v>18.8063</v>
      </c>
      <c r="AJ6">
        <v>18.4114</v>
      </c>
      <c r="AK6">
        <v>15.654999999999999</v>
      </c>
      <c r="AL6">
        <v>12.680199999999999</v>
      </c>
    </row>
    <row r="7" spans="2:38" x14ac:dyDescent="0.4">
      <c r="C7">
        <v>1</v>
      </c>
      <c r="D7">
        <v>4</v>
      </c>
      <c r="E7" t="s">
        <v>0</v>
      </c>
      <c r="F7" t="s">
        <v>1</v>
      </c>
      <c r="G7">
        <v>5</v>
      </c>
      <c r="H7" t="s">
        <v>2</v>
      </c>
      <c r="I7" t="s">
        <v>3</v>
      </c>
      <c r="J7" t="s">
        <v>4</v>
      </c>
      <c r="K7">
        <v>7</v>
      </c>
      <c r="L7">
        <v>8</v>
      </c>
      <c r="M7">
        <v>10</v>
      </c>
      <c r="N7">
        <v>12</v>
      </c>
      <c r="O7" t="s">
        <v>5</v>
      </c>
      <c r="P7">
        <v>24</v>
      </c>
      <c r="Q7">
        <v>29</v>
      </c>
      <c r="R7">
        <v>30</v>
      </c>
      <c r="S7">
        <v>32</v>
      </c>
      <c r="T7">
        <v>36</v>
      </c>
      <c r="U7">
        <v>42</v>
      </c>
      <c r="V7">
        <v>48</v>
      </c>
      <c r="W7">
        <v>50</v>
      </c>
      <c r="X7">
        <v>54</v>
      </c>
      <c r="Y7">
        <v>60</v>
      </c>
      <c r="AD7" t="s">
        <v>8</v>
      </c>
      <c r="AE7">
        <v>0.73729999999999996</v>
      </c>
      <c r="AF7">
        <v>13.4245</v>
      </c>
      <c r="AG7">
        <v>10.2402</v>
      </c>
      <c r="AH7">
        <v>2.9592999999999998</v>
      </c>
      <c r="AI7">
        <v>37.153100000000002</v>
      </c>
      <c r="AJ7">
        <v>47.7592</v>
      </c>
      <c r="AK7">
        <v>25.9559</v>
      </c>
      <c r="AL7">
        <v>19.970700000000001</v>
      </c>
    </row>
    <row r="8" spans="2:38" x14ac:dyDescent="0.4">
      <c r="B8" t="s">
        <v>7</v>
      </c>
      <c r="C8">
        <v>0.77849999999999997</v>
      </c>
      <c r="D8">
        <v>10.5067</v>
      </c>
      <c r="E8">
        <v>8.0889199999999999</v>
      </c>
      <c r="F8">
        <v>2.98963</v>
      </c>
      <c r="G8">
        <v>18.8063</v>
      </c>
      <c r="H8">
        <v>18.4114</v>
      </c>
      <c r="I8">
        <v>15.654999999999999</v>
      </c>
      <c r="J8">
        <v>12.680199999999999</v>
      </c>
      <c r="K8">
        <v>34.914099999999998</v>
      </c>
      <c r="L8">
        <v>47.835299999999997</v>
      </c>
      <c r="M8">
        <v>86.179500000000004</v>
      </c>
      <c r="N8">
        <v>125.93</v>
      </c>
      <c r="O8">
        <v>17.298500000000001</v>
      </c>
      <c r="P8">
        <v>652.42600000000004</v>
      </c>
      <c r="Q8">
        <v>1834.17</v>
      </c>
      <c r="R8">
        <v>2099.48</v>
      </c>
      <c r="S8">
        <v>1978.73</v>
      </c>
      <c r="T8">
        <v>3366.21</v>
      </c>
      <c r="U8">
        <v>4157.3900000000003</v>
      </c>
      <c r="V8">
        <v>6245.83</v>
      </c>
      <c r="W8">
        <v>15050.3</v>
      </c>
      <c r="X8">
        <v>9284.93</v>
      </c>
      <c r="Y8">
        <v>8728.33</v>
      </c>
      <c r="AD8" t="s">
        <v>9</v>
      </c>
      <c r="AE8">
        <v>1.8274999999999999</v>
      </c>
      <c r="AF8">
        <v>10.866400000000001</v>
      </c>
      <c r="AG8">
        <v>10.766999999999999</v>
      </c>
      <c r="AH8">
        <v>3.0114000000000001</v>
      </c>
      <c r="AI8">
        <v>34.148099999999999</v>
      </c>
      <c r="AJ8">
        <v>35.027900000000002</v>
      </c>
      <c r="AK8">
        <v>27.282800000000002</v>
      </c>
      <c r="AL8">
        <v>21.449100000000001</v>
      </c>
    </row>
    <row r="9" spans="2:38" x14ac:dyDescent="0.4">
      <c r="B9" t="s">
        <v>8</v>
      </c>
      <c r="C9">
        <v>0.73729999999999996</v>
      </c>
      <c r="D9">
        <v>13.4245</v>
      </c>
      <c r="E9">
        <v>10.2402</v>
      </c>
      <c r="F9">
        <v>2.9592999999999998</v>
      </c>
      <c r="G9">
        <v>37.153100000000002</v>
      </c>
      <c r="H9">
        <v>47.7592</v>
      </c>
      <c r="I9">
        <v>25.9559</v>
      </c>
      <c r="J9">
        <v>19.970700000000001</v>
      </c>
      <c r="K9">
        <v>104.547</v>
      </c>
      <c r="L9">
        <v>80.441900000000004</v>
      </c>
      <c r="M9">
        <v>647.21600000000001</v>
      </c>
      <c r="N9">
        <v>883.90599999999995</v>
      </c>
      <c r="O9">
        <v>17.9695</v>
      </c>
      <c r="P9">
        <v>36182.800000000003</v>
      </c>
      <c r="Q9">
        <v>183969</v>
      </c>
      <c r="R9">
        <v>239979</v>
      </c>
      <c r="S9">
        <v>247252</v>
      </c>
      <c r="T9">
        <v>606902</v>
      </c>
      <c r="U9">
        <v>439903</v>
      </c>
      <c r="V9">
        <v>725828</v>
      </c>
      <c r="W9" s="1">
        <v>33766400</v>
      </c>
      <c r="X9" s="1">
        <v>1504540</v>
      </c>
      <c r="Y9" s="1">
        <v>1740090</v>
      </c>
      <c r="AE9">
        <v>7</v>
      </c>
      <c r="AF9">
        <v>8</v>
      </c>
      <c r="AG9">
        <v>10</v>
      </c>
      <c r="AH9" s="2">
        <v>12</v>
      </c>
      <c r="AI9" s="2"/>
      <c r="AJ9">
        <v>24</v>
      </c>
      <c r="AK9">
        <v>29</v>
      </c>
      <c r="AL9">
        <v>30</v>
      </c>
    </row>
    <row r="10" spans="2:38" x14ac:dyDescent="0.4">
      <c r="B10" t="s">
        <v>9</v>
      </c>
      <c r="C10">
        <v>1.8274999999999999</v>
      </c>
      <c r="D10">
        <v>10.866400000000001</v>
      </c>
      <c r="E10">
        <v>10.766999999999999</v>
      </c>
      <c r="F10">
        <v>3.0114000000000001</v>
      </c>
      <c r="G10">
        <v>34.148099999999999</v>
      </c>
      <c r="H10">
        <v>35.027900000000002</v>
      </c>
      <c r="I10">
        <v>27.282800000000002</v>
      </c>
      <c r="J10">
        <v>21.449100000000001</v>
      </c>
      <c r="K10">
        <v>79.091300000000004</v>
      </c>
      <c r="L10">
        <v>67.744399999999999</v>
      </c>
      <c r="M10">
        <v>324.68599999999998</v>
      </c>
      <c r="N10">
        <v>322.44499999999999</v>
      </c>
      <c r="O10">
        <v>18.898700000000002</v>
      </c>
      <c r="P10">
        <v>2891.37</v>
      </c>
      <c r="Q10">
        <v>13777.7</v>
      </c>
      <c r="R10">
        <v>11723.7</v>
      </c>
      <c r="S10">
        <v>12666.4</v>
      </c>
      <c r="T10">
        <v>23164.799999999999</v>
      </c>
      <c r="U10">
        <v>20484.900000000001</v>
      </c>
      <c r="V10">
        <v>39682.6</v>
      </c>
      <c r="W10">
        <v>211658</v>
      </c>
      <c r="X10">
        <v>60456.5</v>
      </c>
      <c r="Y10">
        <v>48844.1</v>
      </c>
      <c r="AE10">
        <v>7</v>
      </c>
      <c r="AF10">
        <v>8</v>
      </c>
      <c r="AG10">
        <v>10</v>
      </c>
      <c r="AH10">
        <v>12</v>
      </c>
      <c r="AI10" t="s">
        <v>5</v>
      </c>
      <c r="AJ10">
        <v>24</v>
      </c>
      <c r="AK10">
        <v>29</v>
      </c>
      <c r="AL10">
        <v>30</v>
      </c>
    </row>
    <row r="11" spans="2:38" x14ac:dyDescent="0.4">
      <c r="AD11" t="s">
        <v>7</v>
      </c>
      <c r="AE11">
        <v>34.914099999999998</v>
      </c>
      <c r="AF11">
        <v>47.835299999999997</v>
      </c>
      <c r="AG11">
        <v>86.179500000000004</v>
      </c>
      <c r="AH11">
        <v>125.93</v>
      </c>
      <c r="AI11">
        <v>17.298500000000001</v>
      </c>
      <c r="AJ11">
        <v>652.42600000000004</v>
      </c>
      <c r="AK11">
        <v>1834.17</v>
      </c>
      <c r="AL11">
        <v>2099.48</v>
      </c>
    </row>
    <row r="12" spans="2:38" x14ac:dyDescent="0.4">
      <c r="AD12" t="s">
        <v>8</v>
      </c>
      <c r="AE12">
        <v>104.547</v>
      </c>
      <c r="AF12">
        <v>80.441900000000004</v>
      </c>
      <c r="AG12">
        <v>647.21600000000001</v>
      </c>
      <c r="AH12">
        <v>883.90599999999995</v>
      </c>
      <c r="AI12">
        <v>17.9695</v>
      </c>
      <c r="AJ12">
        <v>36182.800000000003</v>
      </c>
      <c r="AK12">
        <v>183969</v>
      </c>
      <c r="AL12">
        <v>239979</v>
      </c>
    </row>
    <row r="13" spans="2:38" x14ac:dyDescent="0.4">
      <c r="C13">
        <v>0.77849999999999997</v>
      </c>
      <c r="D13" s="2">
        <f>(D8+E8+F8)/3</f>
        <v>7.1950833333333337</v>
      </c>
      <c r="E13" s="2"/>
      <c r="F13" s="2"/>
      <c r="G13" s="2">
        <f>(G8+H8+I8+J8)/4</f>
        <v>16.388224999999998</v>
      </c>
      <c r="H13" s="2"/>
      <c r="I13" s="2"/>
      <c r="J13" s="2"/>
      <c r="K13">
        <v>34.914099999999998</v>
      </c>
      <c r="L13">
        <v>47.835299999999997</v>
      </c>
      <c r="M13">
        <v>86.179500000000004</v>
      </c>
      <c r="N13" s="2">
        <f>(N8+O8)/2</f>
        <v>71.614249999999998</v>
      </c>
      <c r="O13" s="2"/>
      <c r="P13">
        <v>652.42600000000004</v>
      </c>
      <c r="Q13">
        <v>1834.17</v>
      </c>
      <c r="R13">
        <v>2099.48</v>
      </c>
      <c r="S13">
        <v>1978.73</v>
      </c>
      <c r="T13">
        <v>3366.21</v>
      </c>
      <c r="U13">
        <v>4157.3900000000003</v>
      </c>
      <c r="V13">
        <v>6245.83</v>
      </c>
      <c r="W13">
        <v>15050.3</v>
      </c>
      <c r="X13">
        <v>9284.93</v>
      </c>
      <c r="Y13">
        <v>8728.33</v>
      </c>
      <c r="AD13" t="s">
        <v>9</v>
      </c>
      <c r="AE13">
        <v>79.091300000000004</v>
      </c>
      <c r="AF13">
        <v>67.744399999999999</v>
      </c>
      <c r="AG13">
        <v>324.68599999999998</v>
      </c>
      <c r="AH13">
        <v>322.44499999999999</v>
      </c>
      <c r="AI13">
        <v>18.898700000000002</v>
      </c>
      <c r="AJ13">
        <v>2891.37</v>
      </c>
      <c r="AK13">
        <v>13777.7</v>
      </c>
      <c r="AL13">
        <v>11723.7</v>
      </c>
    </row>
    <row r="14" spans="2:38" x14ac:dyDescent="0.4">
      <c r="C14">
        <v>0.73729999999999996</v>
      </c>
      <c r="D14" s="2">
        <f>(D9+E9+F9)/3</f>
        <v>8.8746666666666663</v>
      </c>
      <c r="E14" s="2"/>
      <c r="F14" s="2"/>
      <c r="G14" s="2">
        <f>(G9+H9+I9+J9)/4</f>
        <v>32.709724999999999</v>
      </c>
      <c r="H14" s="2"/>
      <c r="I14" s="2"/>
      <c r="J14" s="2"/>
      <c r="K14">
        <v>104.547</v>
      </c>
      <c r="L14">
        <v>80.441900000000004</v>
      </c>
      <c r="M14">
        <v>647.21600000000001</v>
      </c>
      <c r="N14" s="2">
        <f>(N9+O9)/2</f>
        <v>450.93774999999999</v>
      </c>
      <c r="O14" s="2"/>
      <c r="P14">
        <v>36182.800000000003</v>
      </c>
      <c r="Q14">
        <v>183969</v>
      </c>
      <c r="R14">
        <v>239979</v>
      </c>
      <c r="S14">
        <v>247252</v>
      </c>
      <c r="T14">
        <v>606902</v>
      </c>
      <c r="U14">
        <v>439903</v>
      </c>
      <c r="V14">
        <v>725828</v>
      </c>
      <c r="W14" s="1">
        <v>33766400</v>
      </c>
      <c r="X14" s="1">
        <v>1504540</v>
      </c>
      <c r="Y14" s="1">
        <v>1740090</v>
      </c>
      <c r="AE14">
        <v>32</v>
      </c>
      <c r="AF14">
        <v>36</v>
      </c>
      <c r="AG14">
        <v>42</v>
      </c>
      <c r="AH14">
        <v>48</v>
      </c>
      <c r="AI14">
        <v>50</v>
      </c>
      <c r="AJ14">
        <v>54</v>
      </c>
      <c r="AK14">
        <v>60</v>
      </c>
    </row>
    <row r="15" spans="2:38" x14ac:dyDescent="0.4">
      <c r="C15">
        <v>1.8274999999999999</v>
      </c>
      <c r="D15" s="2">
        <f>(D10+E10+F10)/3</f>
        <v>8.2149333333333345</v>
      </c>
      <c r="E15" s="2"/>
      <c r="F15" s="2"/>
      <c r="G15" s="2">
        <f>(G10+H10+I10+J10)/4</f>
        <v>29.476974999999999</v>
      </c>
      <c r="H15" s="2"/>
      <c r="I15" s="2"/>
      <c r="J15" s="2"/>
      <c r="K15">
        <v>79.091300000000004</v>
      </c>
      <c r="L15">
        <v>67.744399999999999</v>
      </c>
      <c r="M15">
        <v>324.68599999999998</v>
      </c>
      <c r="N15" s="2">
        <f>(N10+O10)/2</f>
        <v>170.67185000000001</v>
      </c>
      <c r="O15" s="2"/>
      <c r="P15">
        <v>2891.37</v>
      </c>
      <c r="Q15">
        <v>13777.7</v>
      </c>
      <c r="R15">
        <v>11723.7</v>
      </c>
      <c r="S15">
        <v>12666.4</v>
      </c>
      <c r="T15">
        <v>23164.799999999999</v>
      </c>
      <c r="U15">
        <v>20484.900000000001</v>
      </c>
      <c r="V15">
        <v>39682.6</v>
      </c>
      <c r="W15">
        <v>211658</v>
      </c>
      <c r="X15">
        <v>60456.5</v>
      </c>
      <c r="Y15">
        <v>48844.1</v>
      </c>
      <c r="AD15" t="s">
        <v>7</v>
      </c>
      <c r="AE15">
        <v>1978.73</v>
      </c>
      <c r="AF15">
        <v>3366.21</v>
      </c>
      <c r="AG15">
        <v>4157.3900000000003</v>
      </c>
      <c r="AH15">
        <v>6245.83</v>
      </c>
      <c r="AI15">
        <v>15050.3</v>
      </c>
      <c r="AJ15">
        <v>9284.93</v>
      </c>
      <c r="AK15">
        <v>8728.33</v>
      </c>
    </row>
    <row r="16" spans="2:38" x14ac:dyDescent="0.4">
      <c r="AD16" t="s">
        <v>8</v>
      </c>
      <c r="AE16">
        <v>247252</v>
      </c>
      <c r="AF16">
        <v>606902</v>
      </c>
      <c r="AG16">
        <v>439903</v>
      </c>
      <c r="AH16">
        <v>725828</v>
      </c>
      <c r="AI16" s="1">
        <v>33766400</v>
      </c>
      <c r="AJ16" s="1">
        <v>1504540</v>
      </c>
      <c r="AK16" s="1">
        <v>1740090</v>
      </c>
    </row>
    <row r="17" spans="30:37" x14ac:dyDescent="0.4">
      <c r="AD17" t="s">
        <v>9</v>
      </c>
      <c r="AE17">
        <v>12666.4</v>
      </c>
      <c r="AF17">
        <v>23164.799999999999</v>
      </c>
      <c r="AG17">
        <v>20484.900000000001</v>
      </c>
      <c r="AH17">
        <v>39682.6</v>
      </c>
      <c r="AI17">
        <v>211658</v>
      </c>
      <c r="AJ17">
        <v>60456.5</v>
      </c>
      <c r="AK17">
        <v>48844.1</v>
      </c>
    </row>
  </sheetData>
  <mergeCells count="15">
    <mergeCell ref="AF4:AH4"/>
    <mergeCell ref="AI4:AL4"/>
    <mergeCell ref="AH9:AI9"/>
    <mergeCell ref="D15:F15"/>
    <mergeCell ref="G13:J13"/>
    <mergeCell ref="N13:O13"/>
    <mergeCell ref="G14:J14"/>
    <mergeCell ref="G15:J15"/>
    <mergeCell ref="N14:O14"/>
    <mergeCell ref="N15:O15"/>
    <mergeCell ref="D6:F6"/>
    <mergeCell ref="G6:J6"/>
    <mergeCell ref="N6:O6"/>
    <mergeCell ref="D13:F13"/>
    <mergeCell ref="D14:F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2025-06-25T08:27:48Z</dcterms:modified>
</cp:coreProperties>
</file>