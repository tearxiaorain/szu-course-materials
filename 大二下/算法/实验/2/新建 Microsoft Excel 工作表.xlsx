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206AD397-326E-4CFD-99C7-5DF9850C9A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T4" i="1"/>
  <c r="U4" i="1" s="1"/>
  <c r="V4" i="1" s="1"/>
  <c r="W4" i="1" s="1"/>
  <c r="X4" i="1" s="1"/>
  <c r="Y4" i="1" s="1"/>
  <c r="S4" i="1" l="1"/>
  <c r="B4" i="1"/>
  <c r="E4" i="1"/>
  <c r="F4" i="1"/>
  <c r="G4" i="1"/>
  <c r="H4" i="1" s="1"/>
  <c r="I4" i="1" s="1"/>
  <c r="D4" i="1"/>
  <c r="C4" i="1"/>
  <c r="Y5" i="1"/>
  <c r="X5" i="1"/>
  <c r="W5" i="1"/>
  <c r="V5" i="1"/>
  <c r="U5" i="1"/>
  <c r="T5" i="1"/>
  <c r="S5" i="1"/>
  <c r="R5" i="1"/>
  <c r="C5" i="1"/>
  <c r="D5" i="1"/>
  <c r="E5" i="1"/>
  <c r="F5" i="1"/>
  <c r="G5" i="1"/>
  <c r="H5" i="1"/>
  <c r="I5" i="1"/>
  <c r="B5" i="1"/>
</calcChain>
</file>

<file path=xl/sharedStrings.xml><?xml version="1.0" encoding="utf-8"?>
<sst xmlns="http://schemas.openxmlformats.org/spreadsheetml/2006/main" count="865" uniqueCount="513">
  <si>
    <t>蛮力:</t>
  </si>
  <si>
    <t>1372658,1966666 1372655,1966673: 7.61577</t>
  </si>
  <si>
    <t>time: 96.2616</t>
  </si>
  <si>
    <t>分治:</t>
  </si>
  <si>
    <t>1372655,1966673 1372658,1966666: 7.61577</t>
  </si>
  <si>
    <t>time: 0.335348</t>
  </si>
  <si>
    <t>1290836,143305 1290834,143313: 8.24621</t>
  </si>
  <si>
    <t>time: 97.2091</t>
  </si>
  <si>
    <t>1290834,143313 1290836,143305: 8.24621</t>
  </si>
  <si>
    <t>time: 0.334951</t>
  </si>
  <si>
    <t>500943,1101882 500938,1101883: 5.09902</t>
  </si>
  <si>
    <t>time: 96.3741</t>
  </si>
  <si>
    <t>500938,1101883 500943,1101882: 5.09902</t>
  </si>
  <si>
    <t>time: 0.336616</t>
  </si>
  <si>
    <t>354551,754829 354545,754839: 11.6619</t>
  </si>
  <si>
    <t>time: 95.7234</t>
  </si>
  <si>
    <t>354545,754839 354551,754829: 11.6619</t>
  </si>
  <si>
    <t>time: 0.333985</t>
  </si>
  <si>
    <t>13190,824110 13190,824108: 2</t>
  </si>
  <si>
    <t>time: 96.011</t>
  </si>
  <si>
    <t>13190,824108 13190,824110: 2</t>
  </si>
  <si>
    <t>time: 0.333559</t>
  </si>
  <si>
    <t>535106,534884 535106,534885: 1</t>
  </si>
  <si>
    <t>time: 96.0347</t>
  </si>
  <si>
    <t>time: 0.350094</t>
  </si>
  <si>
    <t>1473666,214582 1473658,214585: 8.544</t>
  </si>
  <si>
    <t>time: 95.2584</t>
  </si>
  <si>
    <t>1473658,214585 1473666,214582: 8.544</t>
  </si>
  <si>
    <t>time: 0.348595</t>
  </si>
  <si>
    <t>577512,1112238 577514,1112231: 7.28011</t>
  </si>
  <si>
    <t>time: 94.6185</t>
  </si>
  <si>
    <t>577514,1112231 577512,1112238: 7.28011</t>
  </si>
  <si>
    <t>time: 0.346285</t>
  </si>
  <si>
    <t>147592,760493 147593,760496: 3.16228</t>
  </si>
  <si>
    <t>time: 94.7871</t>
  </si>
  <si>
    <t>time: 0.332422</t>
  </si>
  <si>
    <t>327298,1986176 327292,1986171: 7.81025</t>
  </si>
  <si>
    <t>time: 94.9152</t>
  </si>
  <si>
    <t>327292,1986171 327298,1986176: 7.81025</t>
  </si>
  <si>
    <t>time: 0.335841</t>
  </si>
  <si>
    <t>1571573,132255 1571573,132254: 1</t>
  </si>
  <si>
    <t>time: 95.366</t>
  </si>
  <si>
    <t>1571573,132254 1571573,132255: 1</t>
  </si>
  <si>
    <t>time: 0.329159</t>
  </si>
  <si>
    <t>1484190,1771254 1484195,1771268: 14.8661</t>
  </si>
  <si>
    <t>time: 95.1205</t>
  </si>
  <si>
    <t>time: 0.330808</t>
  </si>
  <si>
    <t>253766,96277 253764,96285: 8.24621</t>
  </si>
  <si>
    <t>time: 95.0201</t>
  </si>
  <si>
    <t>253764,96285 253766,96277: 8.24621</t>
  </si>
  <si>
    <t>time: 0.33039</t>
  </si>
  <si>
    <t>1090486,810898 1090486,810896: 2</t>
  </si>
  <si>
    <t>time: 95.3342</t>
  </si>
  <si>
    <t>1090486,810896 1090486,810898: 2</t>
  </si>
  <si>
    <t>time: 0.329282</t>
  </si>
  <si>
    <t>1566817,753805 1566823,753799: 8.48528</t>
  </si>
  <si>
    <t>time: 95.1001</t>
  </si>
  <si>
    <t>time: 0.334854</t>
  </si>
  <si>
    <t>1787382,864947 1787383,864945: 2.23607</t>
  </si>
  <si>
    <t>time: 94.9027</t>
  </si>
  <si>
    <t>time: 0.336194</t>
  </si>
  <si>
    <t>1689738,1134225 1689743,1134219: 7.81025</t>
  </si>
  <si>
    <t>time: 98.147</t>
  </si>
  <si>
    <t>1689743,1134219 1689738,1134225: 7.81025</t>
  </si>
  <si>
    <t>time: 0.329215</t>
  </si>
  <si>
    <t>417460,1012920 417467,1012929: 11.4018</t>
  </si>
  <si>
    <t>time: 96.518</t>
  </si>
  <si>
    <t>time: 0.331195</t>
  </si>
  <si>
    <t>1882344,292264 1882352,292257: 10.6301</t>
  </si>
  <si>
    <t>time: 95.7001</t>
  </si>
  <si>
    <t>time: 0.347397</t>
  </si>
  <si>
    <t>952629,698970 952632,698978: 8.544</t>
  </si>
  <si>
    <t>time: 95.2222</t>
  </si>
  <si>
    <t>time: 0.331461</t>
  </si>
  <si>
    <t>33823,502192 33823,502191: 1</t>
  </si>
  <si>
    <t>time: 24.0623</t>
  </si>
  <si>
    <t>33823,502191 33823,502192: 1</t>
  </si>
  <si>
    <t>time: 0.167512</t>
  </si>
  <si>
    <t>876113,744016 876111,744023: 7.28011</t>
  </si>
  <si>
    <t>time: 23.6617</t>
  </si>
  <si>
    <t>876111,744023 876113,744016: 7.28011</t>
  </si>
  <si>
    <t>time: 0.152098</t>
  </si>
  <si>
    <t>885934,161060 885928,161058: 6.32456</t>
  </si>
  <si>
    <t>time: 23.7126</t>
  </si>
  <si>
    <t>885928,161058 885934,161060: 6.32456</t>
  </si>
  <si>
    <t>time: 0.152955</t>
  </si>
  <si>
    <t>897797,689462 897796,689458: 4.12311</t>
  </si>
  <si>
    <t>time: 23.9013</t>
  </si>
  <si>
    <t>897796,689458 897797,689462: 4.12311</t>
  </si>
  <si>
    <t>time: 0.160675</t>
  </si>
  <si>
    <t>543595,458179 543595,458177: 2</t>
  </si>
  <si>
    <t>time: 23.7158</t>
  </si>
  <si>
    <t>543595,458177 543595,458179: 2</t>
  </si>
  <si>
    <t>time: 0.152804</t>
  </si>
  <si>
    <t>774517,707300 774520,707294: 6.7082</t>
  </si>
  <si>
    <t>time: 24.055</t>
  </si>
  <si>
    <t>774520,707294 774517,707300: 6.7082</t>
  </si>
  <si>
    <t>time: 0.153192</t>
  </si>
  <si>
    <t>227283,467980 227271,467984: 12.6491</t>
  </si>
  <si>
    <t>time: 23.7845</t>
  </si>
  <si>
    <t>time: 0.152463</t>
  </si>
  <si>
    <t>74075,538517 74083,538512: 9.43398</t>
  </si>
  <si>
    <t>time: 23.7043</t>
  </si>
  <si>
    <t>time: 0.153523</t>
  </si>
  <si>
    <t>495082,751079 495088,751078: 6.08276</t>
  </si>
  <si>
    <t>time: 23.6487</t>
  </si>
  <si>
    <t>time: 0.155455</t>
  </si>
  <si>
    <t>626217,254978 626217,254984: 6</t>
  </si>
  <si>
    <t>time: 23.6551</t>
  </si>
  <si>
    <t>time: 0.153306</t>
  </si>
  <si>
    <t>220093,66014 220084,66004: 13.4536</t>
  </si>
  <si>
    <t>time: 23.7839</t>
  </si>
  <si>
    <t>220084,66004 220093,66014: 13.4536</t>
  </si>
  <si>
    <t>time: 0.156834</t>
  </si>
  <si>
    <t>412670,651301 412672,651296: 5.38516</t>
  </si>
  <si>
    <t>time: 23.7166</t>
  </si>
  <si>
    <t>time: 0.163719</t>
  </si>
  <si>
    <t>315458,812233 315465,812243: 12.2066</t>
  </si>
  <si>
    <t>time: 23.658</t>
  </si>
  <si>
    <t>time: 0.15235</t>
  </si>
  <si>
    <t>320280,513554 320280,513556: 2</t>
  </si>
  <si>
    <t>time: 23.6076</t>
  </si>
  <si>
    <t>time: 0.151947</t>
  </si>
  <si>
    <t>960428,496411 960433,496413: 5.38516</t>
  </si>
  <si>
    <t>time: 23.6394</t>
  </si>
  <si>
    <t>time: 0.152674</t>
  </si>
  <si>
    <t>783606,337086 783604,337086: 2</t>
  </si>
  <si>
    <t>time: 23.7806</t>
  </si>
  <si>
    <t>783604,337086 783606,337086: 2</t>
  </si>
  <si>
    <t>time: 0.163131</t>
  </si>
  <si>
    <t>249009,699466 249011,699472: 6.32456</t>
  </si>
  <si>
    <t>time: 23.7247</t>
  </si>
  <si>
    <t>time: 0.154107</t>
  </si>
  <si>
    <t>264697,334923 264694,334926: 4.24264</t>
  </si>
  <si>
    <t>time: 23.9459</t>
  </si>
  <si>
    <t>264694,334926 264697,334923: 4.24264</t>
  </si>
  <si>
    <t>time: 0.151488</t>
  </si>
  <si>
    <t>87292,345429 87276,345427: 16.1245</t>
  </si>
  <si>
    <t>time: 23.6442</t>
  </si>
  <si>
    <t>87276,345427 87292,345429: 16.1245</t>
  </si>
  <si>
    <t>time: 0.155598</t>
  </si>
  <si>
    <t>293577,721925 293575,721922: 3.60555</t>
  </si>
  <si>
    <t>time: 23.6267</t>
  </si>
  <si>
    <t>293575,721922 293577,721925: 3.60555</t>
  </si>
  <si>
    <t>time: 0.152813</t>
  </si>
  <si>
    <t>20878,1706453 20881,1706455: 3.60555</t>
  </si>
  <si>
    <t>time: 214.334</t>
  </si>
  <si>
    <t>time: 0.525087</t>
  </si>
  <si>
    <t>1041185,1449360 1041193,1449350: 12.8062</t>
  </si>
  <si>
    <t>time: 214.943</t>
  </si>
  <si>
    <t>1041193,1449350 1041185,1449360: 12.8062</t>
  </si>
  <si>
    <t>time: 0.578272</t>
  </si>
  <si>
    <t>205323,986195 205321,986192: 3.60555</t>
  </si>
  <si>
    <t>time: 213.763</t>
  </si>
  <si>
    <t>205321,986192 205323,986195: 3.60555</t>
  </si>
  <si>
    <t>time: 0.531641</t>
  </si>
  <si>
    <t>2001397,623609 2001391,623612: 6.7082</t>
  </si>
  <si>
    <t>time: 214.481</t>
  </si>
  <si>
    <t>2001391,623612 2001397,623609: 6.7082</t>
  </si>
  <si>
    <t>time: 0.531446</t>
  </si>
  <si>
    <t>49371,2503507 49379,2503511: 8.94427</t>
  </si>
  <si>
    <t>time: 214.303</t>
  </si>
  <si>
    <t>time: 0.569943</t>
  </si>
  <si>
    <t>1842481,1105655 1842488,1105656: 7.07107</t>
  </si>
  <si>
    <t>time: 214.603</t>
  </si>
  <si>
    <t>time: 0.546286</t>
  </si>
  <si>
    <t>68096,929790 68106,929794: 10.7703</t>
  </si>
  <si>
    <t>time: 213.446</t>
  </si>
  <si>
    <t>time: 0.533197</t>
  </si>
  <si>
    <t>726787,459244 726783,459250: 7.2111</t>
  </si>
  <si>
    <t>time: 213.897</t>
  </si>
  <si>
    <t>time: 0.519513</t>
  </si>
  <si>
    <t>1833122,386255 1833118,386259: 5.65685</t>
  </si>
  <si>
    <t>time: 217.194</t>
  </si>
  <si>
    <t>time: 0.557236</t>
  </si>
  <si>
    <t>399761,427325 399759,427329: 4.47214</t>
  </si>
  <si>
    <t>time: 215.123</t>
  </si>
  <si>
    <t>399759,427329 399761,427325: 4.47214</t>
  </si>
  <si>
    <t>time: 0.542197</t>
  </si>
  <si>
    <t>1893372,2570817 1893372,2570824: 7</t>
  </si>
  <si>
    <t>time: 215.021</t>
  </si>
  <si>
    <t>time: 0.52675</t>
  </si>
  <si>
    <t>257013,2647107 257007,2647111: 7.2111</t>
  </si>
  <si>
    <t>time: 216.138</t>
  </si>
  <si>
    <t>time: 0.532149</t>
  </si>
  <si>
    <t>806005,2175520 805994,2175517: 11.4018</t>
  </si>
  <si>
    <t>time: 215.134</t>
  </si>
  <si>
    <t>805994,2175517 806005,2175520: 11.4018</t>
  </si>
  <si>
    <t>time: 0.553287</t>
  </si>
  <si>
    <t>386160,2889954 386170,2889958: 10.7703</t>
  </si>
  <si>
    <t>time: 216.072</t>
  </si>
  <si>
    <t>time: 0.52125</t>
  </si>
  <si>
    <t>2465234,1984526 2465237,1984527: 3.16228</t>
  </si>
  <si>
    <t>time: 218.617</t>
  </si>
  <si>
    <t>time: 0.53566</t>
  </si>
  <si>
    <t>1345167,1811058 1345169,1811057: 2.23607</t>
  </si>
  <si>
    <t>time: 217.253</t>
  </si>
  <si>
    <t>time: 0.537779</t>
  </si>
  <si>
    <t>840697,805128 840692,805132: 6.40312</t>
  </si>
  <si>
    <t>time: 217.875</t>
  </si>
  <si>
    <t>time: 0.52419</t>
  </si>
  <si>
    <t>2530240,1123252 2530244,1123252: 4</t>
  </si>
  <si>
    <t>time: 217.858</t>
  </si>
  <si>
    <t>time: 0.54503</t>
  </si>
  <si>
    <t>1641431,1700479 1641437,1700478: 6.08276</t>
  </si>
  <si>
    <t>time: 217.946</t>
  </si>
  <si>
    <t>time: 0.527011</t>
  </si>
  <si>
    <t>2134548,2168719 2134545,2168719: 3</t>
  </si>
  <si>
    <t>time: 217.064</t>
  </si>
  <si>
    <t>2134545,2168719 2134548,2168719: 3</t>
  </si>
  <si>
    <t>time: 0.521353</t>
  </si>
  <si>
    <t>3887776,1288669 3887780,1288669: 4</t>
  </si>
  <si>
    <t>time: 388.768</t>
  </si>
  <si>
    <t>time: 0.707768</t>
  </si>
  <si>
    <t>3199069,2754470 3199071,2754473: 3.60555</t>
  </si>
  <si>
    <t>time: 388.497</t>
  </si>
  <si>
    <t>time: 0.692576</t>
  </si>
  <si>
    <t>751474,434812 751479,434820: 9.43398</t>
  </si>
  <si>
    <t>time: 383.021</t>
  </si>
  <si>
    <t>time: 0.696387</t>
  </si>
  <si>
    <t>147275,2796727 147281,2796732: 7.81025</t>
  </si>
  <si>
    <t>time: 383.328</t>
  </si>
  <si>
    <t>time: 0.698713</t>
  </si>
  <si>
    <t>2286481,1200152 2286485,1200147: 6.40312</t>
  </si>
  <si>
    <t>time: 385.167</t>
  </si>
  <si>
    <t>time: 0.693235</t>
  </si>
  <si>
    <t>1245758,63792 1245749,63797: 10.2956</t>
  </si>
  <si>
    <t>time: 382.077</t>
  </si>
  <si>
    <t>time: 0.708559</t>
  </si>
  <si>
    <t>2267190,2282092 2267188,2282090: 2.82843</t>
  </si>
  <si>
    <t>time: 384.259</t>
  </si>
  <si>
    <t>2267188,2282090 2267190,2282092: 2.82843</t>
  </si>
  <si>
    <t>time: 0.700309</t>
  </si>
  <si>
    <t>3012683,2106001 3012681,2105998: 3.60555</t>
  </si>
  <si>
    <t>time: 385.633</t>
  </si>
  <si>
    <t>3012681,2105998 3012683,2106001: 3.60555</t>
  </si>
  <si>
    <t>time: 0.705396</t>
  </si>
  <si>
    <t>3864604,2143624 3864617,2143620: 13.6015</t>
  </si>
  <si>
    <t>time: 384.498</t>
  </si>
  <si>
    <t>3864617,2143620 3864604,2143624: 13.6015</t>
  </si>
  <si>
    <t>time: 0.730813</t>
  </si>
  <si>
    <t>302421,326990 302422,326994: 4.12311</t>
  </si>
  <si>
    <t>time: 386.179</t>
  </si>
  <si>
    <t>time: 0.694252</t>
  </si>
  <si>
    <t>2531588,678627 2531589,678628: 1.41421</t>
  </si>
  <si>
    <t>time: 386.305</t>
  </si>
  <si>
    <t>time: 0.733092</t>
  </si>
  <si>
    <t>833270,397868 833272,397874: 6.32456</t>
  </si>
  <si>
    <t>time: 386.13</t>
  </si>
  <si>
    <t>time: 0.702842</t>
  </si>
  <si>
    <t>3791662,1296086 3791660,1296084: 2.82843</t>
  </si>
  <si>
    <t>time: 403.888</t>
  </si>
  <si>
    <t>3791660,1296084 3791662,1296086: 2.82843</t>
  </si>
  <si>
    <t>time: 0.707633</t>
  </si>
  <si>
    <t>2433935,3647978 2433934,3647982: 4.12311</t>
  </si>
  <si>
    <t>time: 399.857</t>
  </si>
  <si>
    <t>2433934,3647982 2433935,3647978: 4.12311</t>
  </si>
  <si>
    <t>time: 0.728163</t>
  </si>
  <si>
    <t>3133712,3998229 3133708,3998228: 4.12311</t>
  </si>
  <si>
    <t>time: 385.313</t>
  </si>
  <si>
    <t>3133708,3998228 3133712,3998229: 4.12311</t>
  </si>
  <si>
    <t>time: 0.705139</t>
  </si>
  <si>
    <t>1580512,699534 1580506,699534: 6</t>
  </si>
  <si>
    <t>time: 387.675</t>
  </si>
  <si>
    <t>1580506,699534 1580512,699534: 6</t>
  </si>
  <si>
    <t>time: 0.739823</t>
  </si>
  <si>
    <t>3163402,233907 3163398,233909: 4.47214</t>
  </si>
  <si>
    <t>time: 386.115</t>
  </si>
  <si>
    <t>3163398,233909 3163402,233907: 4.47214</t>
  </si>
  <si>
    <t>time: 0.694361</t>
  </si>
  <si>
    <t>2766836,1917876 2766838,1917868: 8.24621</t>
  </si>
  <si>
    <t>time: 386.316</t>
  </si>
  <si>
    <t>2766838,1917868 2766836,1917876: 8.24621</t>
  </si>
  <si>
    <t>time: 0.718664</t>
  </si>
  <si>
    <t>131828,3525779 131838,3525787: 12.8062</t>
  </si>
  <si>
    <t>time: 385.564</t>
  </si>
  <si>
    <t>time: 0.711712</t>
  </si>
  <si>
    <t>240672,221167 240674,221168: 2.23607</t>
  </si>
  <si>
    <t>time: 389.624</t>
  </si>
  <si>
    <t>time: 0.721659</t>
  </si>
  <si>
    <t>654775,3827979 654779,3827984: 6.40312</t>
  </si>
  <si>
    <t>time: 386.858</t>
  </si>
  <si>
    <t>time: 0.704729</t>
  </si>
  <si>
    <t>3439376,4201538 3439380,4201531: 8.06226</t>
  </si>
  <si>
    <t>time: 625.308</t>
  </si>
  <si>
    <t>time: 0.91756</t>
  </si>
  <si>
    <t>766613,4239767 766603,4239766: 10.0499</t>
  </si>
  <si>
    <t>time: 613.294</t>
  </si>
  <si>
    <t>766603,4239766 766613,4239767: 10.0499</t>
  </si>
  <si>
    <t>time: 0.868931</t>
  </si>
  <si>
    <t>3887602,3201900 3887596,3201894: 8.48528</t>
  </si>
  <si>
    <t>time: 604.265</t>
  </si>
  <si>
    <t>3887596,3201894 3887602,3201900: 8.48528</t>
  </si>
  <si>
    <t>time: 0.842754</t>
  </si>
  <si>
    <t>3514139,4049499 3514139,4049492: 7</t>
  </si>
  <si>
    <t>time: 603.92</t>
  </si>
  <si>
    <t>3514139,4049492 3514139,4049499: 7</t>
  </si>
  <si>
    <t>time: 0.836519</t>
  </si>
  <si>
    <t>17964,1198186 17971,1198186: 7</t>
  </si>
  <si>
    <t>time: 603.703</t>
  </si>
  <si>
    <t>time: 0.846769</t>
  </si>
  <si>
    <t>4515731,500501 4515730,500494: 7.07107</t>
  </si>
  <si>
    <t>time: 602.976</t>
  </si>
  <si>
    <t>4515730,500494 4515731,500501: 7.07107</t>
  </si>
  <si>
    <t>time: 0.858015</t>
  </si>
  <si>
    <t>2353577,245936 2353575,245942: 6.32456</t>
  </si>
  <si>
    <t>time: 602.235</t>
  </si>
  <si>
    <t>2353575,245942 2353577,245936: 6.32456</t>
  </si>
  <si>
    <t>time: 0.853035</t>
  </si>
  <si>
    <t>1574601,927146 1574603,927147: 2.23607</t>
  </si>
  <si>
    <t>time: 602.036</t>
  </si>
  <si>
    <t>time: 0.86376</t>
  </si>
  <si>
    <t>2450350,2735133 2450344,2735136: 6.7082</t>
  </si>
  <si>
    <t>time: 603.398</t>
  </si>
  <si>
    <t>2450344,2735136 2450350,2735133: 6.7082</t>
  </si>
  <si>
    <t>time: 0.903678</t>
  </si>
  <si>
    <t>2401538,118779 2401536,118782: 3.60555</t>
  </si>
  <si>
    <t>time: 601.463</t>
  </si>
  <si>
    <t>2401536,118782 2401538,118779: 3.60555</t>
  </si>
  <si>
    <t>time: 0.847426</t>
  </si>
  <si>
    <t>3411440,260270 3411441,260273: 3.16228</t>
  </si>
  <si>
    <t>time: 600.05</t>
  </si>
  <si>
    <t>time: 0.85371</t>
  </si>
  <si>
    <t>1505781,3474891 1505777,3474891: 4</t>
  </si>
  <si>
    <t>time: 601.768</t>
  </si>
  <si>
    <t>1505777,3474891 1505781,3474891: 4</t>
  </si>
  <si>
    <t>time: 0.844583</t>
  </si>
  <si>
    <t>3069017,3029000 3069017,3029000: 0</t>
  </si>
  <si>
    <t>time: 598.21</t>
  </si>
  <si>
    <t>time: 0.845434</t>
  </si>
  <si>
    <t>3975864,2798029 3975861,2798038: 9.48683</t>
  </si>
  <si>
    <t>time: 598.463</t>
  </si>
  <si>
    <t>3975861,2798038 3975864,2798029: 9.48683</t>
  </si>
  <si>
    <t>time: 0.833668</t>
  </si>
  <si>
    <t>1637721,3248993 1637708,3248988: 13.9284</t>
  </si>
  <si>
    <t>time: 596.723</t>
  </si>
  <si>
    <t>1637708,3248988 1637721,3248993: 13.9284</t>
  </si>
  <si>
    <t>time: 0.832206</t>
  </si>
  <si>
    <t>3360392,2225814 3360391,2225805: 9.05539</t>
  </si>
  <si>
    <t>time: 599.504</t>
  </si>
  <si>
    <t>3360391,2225805 3360392,2225814: 9.05539</t>
  </si>
  <si>
    <t>time: 0.835345</t>
  </si>
  <si>
    <t>3875646,423828 3875648,423828: 2</t>
  </si>
  <si>
    <t>time: 598.12</t>
  </si>
  <si>
    <t>time: 0.866309</t>
  </si>
  <si>
    <t>2116001,3514704 2115994,3514702: 7.28011</t>
  </si>
  <si>
    <t>time: 600.061</t>
  </si>
  <si>
    <t>2115994,3514702 2116001,3514704: 7.28011</t>
  </si>
  <si>
    <t>time: 0.82651</t>
  </si>
  <si>
    <t>77921,423690 77908,423687: 13.3417</t>
  </si>
  <si>
    <t>time: 1103.51</t>
  </si>
  <si>
    <t>77908,423687 77921,423690: 13.3417</t>
  </si>
  <si>
    <t>time: 1.25704</t>
  </si>
  <si>
    <t>3088495,242175 3088492,242173: 3.60555</t>
  </si>
  <si>
    <t>time: 1115.85</t>
  </si>
  <si>
    <t>3088492,242173 3088495,242175: 3.60555</t>
  </si>
  <si>
    <t>time: 1.29942</t>
  </si>
  <si>
    <t>278909,137641 278897,137635: 13.4164</t>
  </si>
  <si>
    <t>time: 1122.92</t>
  </si>
  <si>
    <t>278897,137635 278909,137641: 13.4164</t>
  </si>
  <si>
    <t>time: 1.26046</t>
  </si>
  <si>
    <t>78540,4084285 78535,4084282: 5.83095</t>
  </si>
  <si>
    <t>time: 1062.99</t>
  </si>
  <si>
    <t>78535,4084282 78540,4084285: 5.83095</t>
  </si>
  <si>
    <t>time: 1.34297</t>
  </si>
  <si>
    <t>1985939,3331044 1985939,3331050: 6</t>
  </si>
  <si>
    <t>time: 1140.74</t>
  </si>
  <si>
    <t>time: 1.36552</t>
  </si>
  <si>
    <t>696196,1209640 696194,1209636: 4.47214</t>
  </si>
  <si>
    <t>time: 1071.5</t>
  </si>
  <si>
    <t>696194,1209636 696196,1209640: 4.47214</t>
  </si>
  <si>
    <t>time: 1.30295</t>
  </si>
  <si>
    <t>6465830,6440591 6465824,6440584: 9.21954</t>
  </si>
  <si>
    <t>time: 1140.78</t>
  </si>
  <si>
    <t>6465824,6440584 6465830,6440591: 9.21954</t>
  </si>
  <si>
    <t>time: 1.35447</t>
  </si>
  <si>
    <t>2533979,1459087 2533967,1459086: 12.0416</t>
  </si>
  <si>
    <t>time: 1066.11</t>
  </si>
  <si>
    <t>2533967,1459086 2533979,1459087: 12.0416</t>
  </si>
  <si>
    <t>time: 1.27646</t>
  </si>
  <si>
    <t>933819,2874787 933826,2874790: 7.61577</t>
  </si>
  <si>
    <t>time: 1120.89</t>
  </si>
  <si>
    <t>time: 1.28052</t>
  </si>
  <si>
    <t>6203683,4616392 6203685,4616398: 6.32456</t>
  </si>
  <si>
    <t>time: 1056.14</t>
  </si>
  <si>
    <t>time: 1.26644</t>
  </si>
  <si>
    <t>3708311,3942248 3708303,3942235: 15.2643</t>
  </si>
  <si>
    <t>time: 1129.49</t>
  </si>
  <si>
    <t>3708303,3942235 3708311,3942248: 15.2643</t>
  </si>
  <si>
    <t>time: 1.3172</t>
  </si>
  <si>
    <t>922807,5685824 922805,5685809: 15.1327</t>
  </si>
  <si>
    <t>time: 1542.23</t>
  </si>
  <si>
    <t>922805,5685809 922807,5685824: 15.1327</t>
  </si>
  <si>
    <t>time: 1.49555</t>
  </si>
  <si>
    <t>7997061,5490432 7997064,5490436: 5</t>
  </si>
  <si>
    <t>time: 1525.72</t>
  </si>
  <si>
    <t>time: 1.48193</t>
  </si>
  <si>
    <t>6508455,826492 6508457,826496: 4.47214</t>
  </si>
  <si>
    <t>time: 1528.48</t>
  </si>
  <si>
    <t>time: 1.48581</t>
  </si>
  <si>
    <t>2109151,743630 2109150,743634: 4.12311</t>
  </si>
  <si>
    <t>time: 1534.94</t>
  </si>
  <si>
    <t>2109150,743634 2109151,743630: 4.12311</t>
  </si>
  <si>
    <t>time: 1.47011</t>
  </si>
  <si>
    <t>2733201,3879671 2733191,3879670: 10.0499</t>
  </si>
  <si>
    <t>time: 1537.37</t>
  </si>
  <si>
    <t>2733191,3879670 2733201,3879671: 10.0499</t>
  </si>
  <si>
    <t>time: 1.53479</t>
  </si>
  <si>
    <t>1632025,32666 1632030,32664: 5.38516</t>
  </si>
  <si>
    <t>time: 1531.75</t>
  </si>
  <si>
    <t>time: 1.50422</t>
  </si>
  <si>
    <t>4575160,1839322 4575167,1839319: 7.61577</t>
  </si>
  <si>
    <t>time: 1530.03</t>
  </si>
  <si>
    <t>4575167,1839319 4575160,1839322: 7.61577</t>
  </si>
  <si>
    <t>time: 1.54072</t>
  </si>
  <si>
    <t>839714,6971686 839712,6971695: 9.21954</t>
  </si>
  <si>
    <t>time: 1529.91</t>
  </si>
  <si>
    <t>time: 1.47422</t>
  </si>
  <si>
    <t>6180464,1007820 6180469,1007821: 5.09902</t>
  </si>
  <si>
    <t>time: 1547.95</t>
  </si>
  <si>
    <t>time: 1.48244</t>
  </si>
  <si>
    <t>2145996,4446037 2145989,4446035: 7.28011</t>
  </si>
  <si>
    <t>time: 1546.86</t>
  </si>
  <si>
    <t>2145989,4446035 2145996,4446037: 7.28011</t>
  </si>
  <si>
    <t>time: 1.5152</t>
  </si>
  <si>
    <t>5695753,4611916 5695745,4611912: 8.94427</t>
  </si>
  <si>
    <t>time: 1548.36</t>
  </si>
  <si>
    <t>5695745,4611912 5695753,4611916: 8.94427</t>
  </si>
  <si>
    <t>time: 1.5019</t>
  </si>
  <si>
    <t>3541441,1480480 3541428,1480481: 13.0384</t>
  </si>
  <si>
    <t>time: 1535.41</t>
  </si>
  <si>
    <t>3541428,1480481 3541441,1480480: 13.0384</t>
  </si>
  <si>
    <t>time: 1.47113</t>
  </si>
  <si>
    <t>6216424,7143707 6216424,7143711: 4</t>
  </si>
  <si>
    <t>time: 1510.97</t>
  </si>
  <si>
    <t>time: 1.5539</t>
  </si>
  <si>
    <t>5834859,2149477 5834848,2149477: 11</t>
  </si>
  <si>
    <t>time: 2361.54</t>
  </si>
  <si>
    <t>5834848,2149477 5834859,2149477: 11</t>
  </si>
  <si>
    <t>time: 1.80592</t>
  </si>
  <si>
    <t>9816413,4324057 9816416,4324055: 3.60555</t>
  </si>
  <si>
    <t>time: 2364.46</t>
  </si>
  <si>
    <t>9816416,4324055 9816413,4324057: 3.60555</t>
  </si>
  <si>
    <t>time: 1.87012</t>
  </si>
  <si>
    <t>2464942,4377730 2464947,4377729: 5.09902</t>
  </si>
  <si>
    <t>time: 2359.6</t>
  </si>
  <si>
    <t>2464947,4377729 2464942,4377730: 5.09902</t>
  </si>
  <si>
    <t>time: 1.78882</t>
  </si>
  <si>
    <t>5736212,8605936 5736204,8605943: 10.6301</t>
  </si>
  <si>
    <t>time: 2357.73</t>
  </si>
  <si>
    <t>5736204,8605943 5736212,8605936: 10.6301</t>
  </si>
  <si>
    <t>time: 1.78721</t>
  </si>
  <si>
    <t>3139201,4678779 3139204,4678777: 3.60555</t>
  </si>
  <si>
    <t>time: 2355.08</t>
  </si>
  <si>
    <t>3139204,4678777 3139201,4678779: 3.60555</t>
  </si>
  <si>
    <t>time: 1.78848</t>
  </si>
  <si>
    <t>2598510,9525275 2598504,9525274: 6.08276</t>
  </si>
  <si>
    <t>time: 2360.77</t>
  </si>
  <si>
    <t>2598504,9525274 2598510,9525275: 6.08276</t>
  </si>
  <si>
    <t>time: 1.77926</t>
  </si>
  <si>
    <t>5373156,161982 5373160,161976: 7.2111</t>
  </si>
  <si>
    <t>time: 2362.23</t>
  </si>
  <si>
    <t>5373160,161976 5373156,161982: 7.2111</t>
  </si>
  <si>
    <t>time: 1.78986</t>
  </si>
  <si>
    <t>4792506,5024048 4792506,5024051: 3</t>
  </si>
  <si>
    <t>time: 2387.41</t>
  </si>
  <si>
    <t>time: 1.83997</t>
  </si>
  <si>
    <t>7897717,8597270 7897716,8597279: 9.05539</t>
  </si>
  <si>
    <t>time: 2419.72</t>
  </si>
  <si>
    <t>time: 1.82534</t>
  </si>
  <si>
    <t>3191530,4025790 3191527,4025784: 6.7082</t>
  </si>
  <si>
    <t>time: 2416.8</t>
  </si>
  <si>
    <t>3191527,4025784 3191530,4025790: 6.7082</t>
  </si>
  <si>
    <t>time: 1.81689</t>
  </si>
  <si>
    <t>4420683,5107965 4420676,5107965: 7</t>
  </si>
  <si>
    <t>time: 2412.06</t>
  </si>
  <si>
    <t>4420676,5107965 4420683,5107965: 7</t>
  </si>
  <si>
    <t>time: 1.82931</t>
  </si>
  <si>
    <t>6550080,4614353 6550085,4614354: 5.09902</t>
  </si>
  <si>
    <t>time: 2422.24</t>
  </si>
  <si>
    <t>time: 1.85804</t>
  </si>
  <si>
    <t>over</t>
  </si>
  <si>
    <t>1121932,9160208 1121933,9160205: 3.16228</t>
  </si>
  <si>
    <t>time: 2383.68</t>
  </si>
  <si>
    <t>time: 1.79948</t>
  </si>
  <si>
    <t>1597740,7320790 1597743,7320785: 5.83095</t>
  </si>
  <si>
    <t>time: 2377.78</t>
  </si>
  <si>
    <t>1597743,7320785 1597740,7320790: 5.83095</t>
  </si>
  <si>
    <t>time: 1.80332</t>
  </si>
  <si>
    <t>8245012,8287832 8245009,8287836: 5</t>
  </si>
  <si>
    <t>time: 2403.15</t>
  </si>
  <si>
    <t>8245009,8287836 8245012,8287832: 5</t>
  </si>
  <si>
    <t>time: 1.83815</t>
  </si>
  <si>
    <t>5681623,9733015 5681621,9733018: 3.60555</t>
  </si>
  <si>
    <t>time: 2397.6</t>
  </si>
  <si>
    <t>time: 1.83678</t>
  </si>
  <si>
    <t>7614805,5000471 7614801,5000471: 4</t>
  </si>
  <si>
    <t>time: 2418.56</t>
  </si>
  <si>
    <t>7614801,5000471 7614805,5000471: 4</t>
  </si>
  <si>
    <t>time: 1.83209</t>
  </si>
  <si>
    <t>2534932,9476134 2534928,9476141: 8.06226</t>
  </si>
  <si>
    <t>time: 2439.05</t>
  </si>
  <si>
    <t>2534928,9476141 2534932,9476134: 8.06226</t>
  </si>
  <si>
    <t>time: 1.80597</t>
  </si>
  <si>
    <t>6393599,350320 6393599,350323: 3</t>
  </si>
  <si>
    <t>time: 2404.35</t>
  </si>
  <si>
    <t>time: 1.79404</t>
  </si>
  <si>
    <t>3179577,4510565 3179586,4510557: 12.0416</t>
  </si>
  <si>
    <t>time: 2382.29</t>
  </si>
  <si>
    <t>time: 1.80887</t>
  </si>
  <si>
    <t>平均</t>
    <phoneticPr fontId="1" type="noConversion"/>
  </si>
  <si>
    <t>理论</t>
    <phoneticPr fontId="1" type="noConversion"/>
  </si>
  <si>
    <t>规模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</si>
</sst>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color rgb="FF40404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蛮力法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理论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Sheet1!$B$3:$I$3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Sheet1!$B$4:$I$4</c:f>
              <c:numCache>
                <c:formatCode>General</c:formatCode>
                <c:ptCount val="8"/>
                <c:pt idx="0">
                  <c:v>23.912663157894741</c:v>
                </c:pt>
                <c:pt idx="1">
                  <c:v>95.650652631578964</c:v>
                </c:pt>
                <c:pt idx="2">
                  <c:v>215.21396842105267</c:v>
                </c:pt>
                <c:pt idx="3">
                  <c:v>382.60261052631586</c:v>
                </c:pt>
                <c:pt idx="4">
                  <c:v>597.8165789473685</c:v>
                </c:pt>
                <c:pt idx="5">
                  <c:v>1010.3100184210529</c:v>
                </c:pt>
                <c:pt idx="6">
                  <c:v>1530.4104421052637</c:v>
                </c:pt>
                <c:pt idx="7">
                  <c:v>2391.2663157894744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E2-484D-8684-03B75882598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平均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Sheet1!$B$3:$I$3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Sheet1!$B$5:$I$5</c:f>
              <c:numCache>
                <c:formatCode>General</c:formatCode>
                <c:ptCount val="8"/>
                <c:pt idx="0">
                  <c:v>23.735084210526313</c:v>
                </c:pt>
                <c:pt idx="1">
                  <c:v>95.650652631578964</c:v>
                </c:pt>
                <c:pt idx="2">
                  <c:v>215.82794736842109</c:v>
                </c:pt>
                <c:pt idx="3">
                  <c:v>387.37836842105264</c:v>
                </c:pt>
                <c:pt idx="4">
                  <c:v>601.77582352941192</c:v>
                </c:pt>
                <c:pt idx="5">
                  <c:v>1102.7409999999998</c:v>
                </c:pt>
                <c:pt idx="6">
                  <c:v>1533.8490909090908</c:v>
                </c:pt>
                <c:pt idx="7">
                  <c:v>2390.7663157894735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E2-484D-8684-03B758825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43680"/>
        <c:axId val="939845600"/>
      </c:scatterChart>
      <c:valAx>
        <c:axId val="939843680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9845600"/>
        <c:crosses val="autoZero"/>
        <c:crossBetween val="midCat"/>
      </c:valAx>
      <c:valAx>
        <c:axId val="9398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984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分治法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Sheet1!$Q$4</c:f>
              <c:strCache>
                <c:ptCount val="1"/>
                <c:pt idx="0">
                  <c:v>理论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Sheet1!$R$3:$Y$3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Sheet1!$R$4:$Y$4</c:f>
              <c:numCache>
                <c:formatCode>General</c:formatCode>
                <c:ptCount val="8"/>
                <c:pt idx="0">
                  <c:v>0.15841764925179028</c:v>
                </c:pt>
                <c:pt idx="1">
                  <c:v>0.33591068421052633</c:v>
                </c:pt>
                <c:pt idx="2">
                  <c:v>0.52060360430382291</c:v>
                </c:pt>
                <c:pt idx="3">
                  <c:v>0.70997213983494434</c:v>
                </c:pt>
                <c:pt idx="4">
                  <c:v>0.9028174312433771</c:v>
                </c:pt>
                <c:pt idx="5">
                  <c:v>1.1971284900428032</c:v>
                </c:pt>
                <c:pt idx="6">
                  <c:v>1.496245822497672</c:v>
                </c:pt>
                <c:pt idx="7">
                  <c:v>1.9010117910214834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F1-4F43-9C10-69936E58D6D8}"/>
            </c:ext>
          </c:extLst>
        </c:ser>
        <c:ser>
          <c:idx val="1"/>
          <c:order val="1"/>
          <c:tx>
            <c:strRef>
              <c:f>Sheet1!$Q$5</c:f>
              <c:strCache>
                <c:ptCount val="1"/>
                <c:pt idx="0">
                  <c:v>平均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Sheet1!$R$3:$Y$3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Sheet1!$R$5:$Y$5</c:f>
              <c:numCache>
                <c:formatCode>General</c:formatCode>
                <c:ptCount val="8"/>
                <c:pt idx="0">
                  <c:v>0.15479642105263156</c:v>
                </c:pt>
                <c:pt idx="1">
                  <c:v>0.33591068421052633</c:v>
                </c:pt>
                <c:pt idx="2">
                  <c:v>0.53864157894736842</c:v>
                </c:pt>
                <c:pt idx="3">
                  <c:v>0.71019452631578961</c:v>
                </c:pt>
                <c:pt idx="4">
                  <c:v>0.85050894117647058</c:v>
                </c:pt>
                <c:pt idx="5">
                  <c:v>1.3066409999999997</c:v>
                </c:pt>
                <c:pt idx="6">
                  <c:v>1.5041127272727273</c:v>
                </c:pt>
                <c:pt idx="7">
                  <c:v>1.8153684210526315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F1-4F43-9C10-69936E58D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42720"/>
        <c:axId val="939843200"/>
      </c:scatterChart>
      <c:valAx>
        <c:axId val="939842720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9843200"/>
        <c:crosses val="autoZero"/>
        <c:crossBetween val="midCat"/>
      </c:valAx>
      <c:valAx>
        <c:axId val="9398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984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蛮力与分治对比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蛮力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Sheet1!$B$3:$I$3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Sheet1!$B$5:$I$5</c:f>
              <c:numCache>
                <c:formatCode>General</c:formatCode>
                <c:ptCount val="8"/>
                <c:pt idx="0">
                  <c:v>23.735084210526313</c:v>
                </c:pt>
                <c:pt idx="1">
                  <c:v>95.650652631578964</c:v>
                </c:pt>
                <c:pt idx="2">
                  <c:v>215.82794736842109</c:v>
                </c:pt>
                <c:pt idx="3">
                  <c:v>387.37836842105264</c:v>
                </c:pt>
                <c:pt idx="4">
                  <c:v>601.77582352941192</c:v>
                </c:pt>
                <c:pt idx="5">
                  <c:v>1102.7409999999998</c:v>
                </c:pt>
                <c:pt idx="6">
                  <c:v>1533.8490909090908</c:v>
                </c:pt>
                <c:pt idx="7">
                  <c:v>2390.7663157894735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9-4329-A58E-AE109AA9F07B}"/>
            </c:ext>
          </c:extLst>
        </c:ser>
        <c:ser>
          <c:idx val="1"/>
          <c:order val="1"/>
          <c:tx>
            <c:v>分治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Sheet1!$R$3:$Y$3</c:f>
              <c:numCache>
                <c:formatCode>General</c:formatCod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650000</c:v>
                </c:pt>
                <c:pt idx="6">
                  <c:v>800000</c:v>
                </c:pt>
                <c:pt idx="7">
                  <c:v>1000000</c:v>
                </c:pt>
              </c:numCache>
            </c:numRef>
          </c:xVal>
          <c:yVal>
            <c:numRef>
              <c:f>Sheet1!$R$5:$Y$5</c:f>
              <c:numCache>
                <c:formatCode>General</c:formatCode>
                <c:ptCount val="8"/>
                <c:pt idx="0">
                  <c:v>0.15479642105263156</c:v>
                </c:pt>
                <c:pt idx="1">
                  <c:v>0.33591068421052633</c:v>
                </c:pt>
                <c:pt idx="2">
                  <c:v>0.53864157894736842</c:v>
                </c:pt>
                <c:pt idx="3">
                  <c:v>0.71019452631578961</c:v>
                </c:pt>
                <c:pt idx="4">
                  <c:v>0.85050894117647058</c:v>
                </c:pt>
                <c:pt idx="5">
                  <c:v>1.3066409999999997</c:v>
                </c:pt>
                <c:pt idx="6">
                  <c:v>1.5041127272727273</c:v>
                </c:pt>
                <c:pt idx="7">
                  <c:v>1.8153684210526315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49-4329-A58E-AE109AA9F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175536"/>
        <c:axId val="894176976"/>
      </c:scatterChart>
      <c:valAx>
        <c:axId val="894175536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176976"/>
        <c:crosses val="autoZero"/>
        <c:crossBetween val="midCat"/>
      </c:valAx>
      <c:valAx>
        <c:axId val="8941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17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507205</xdr:colOff>
      <xdr:row>7</xdr:row>
      <xdr:rowOff>135731</xdr:rowOff>
    </xdr:from>
    <xdr:to>
      <xdr:col>7</xdr:col>
      <xdr:colOff>545305</xdr:colOff>
      <xdr:row>22</xdr:row>
      <xdr:rowOff>21431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9EE78C-7817-B8C8-B7D1-9909E5D4B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650081</xdr:colOff>
      <xdr:row>7</xdr:row>
      <xdr:rowOff>11906</xdr:rowOff>
    </xdr:from>
    <xdr:to>
      <xdr:col>23</xdr:col>
      <xdr:colOff>297656</xdr:colOff>
      <xdr:row>21</xdr:row>
      <xdr:rowOff>88106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272CC5B-F611-43F0-A4A0-370105C94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445293</xdr:colOff>
      <xdr:row>6</xdr:row>
      <xdr:rowOff>130968</xdr:rowOff>
    </xdr:from>
    <xdr:to>
      <xdr:col>15</xdr:col>
      <xdr:colOff>92868</xdr:colOff>
      <xdr:row>21</xdr:row>
      <xdr:rowOff>16668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3EB673-EAC7-CF08-DFAB-261A4478A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8"/>
  <sheetViews>
    <sheetView tabSelected="1" topLeftCell="N1" workbookViewId="0">
      <selection activeCell="Z11" sqref="Z11"/>
    </sheetView>
  </sheetViews>
  <sheetFormatPr defaultRowHeight="13.9" x14ac:dyDescent="0.4"/>
  <cols>
    <col min="4" max="4" width="12.6640625" bestFit="1" customWidth="1"/>
    <col min="5" max="5" width="14.53125" bestFit="1" customWidth="1"/>
    <col min="9" max="9" width="12.6640625" bestFit="1" customWidth="1"/>
    <col min="10" max="10" width="14.53125" bestFit="1" customWidth="1"/>
    <col min="12" max="12" width="12.6640625" bestFit="1" customWidth="1"/>
    <col min="13" max="13" width="14.53125" bestFit="1" customWidth="1"/>
    <col min="17" max="17" width="12.6640625" bestFit="1" customWidth="1"/>
    <col min="18" max="18" width="14.53125" bestFit="1" customWidth="1"/>
    <col min="21" max="21" width="12.6640625" bestFit="1" customWidth="1"/>
    <col min="22" max="22" width="14.53125" bestFit="1" customWidth="1"/>
    <col min="24" max="25" width="12.6640625" bestFit="1" customWidth="1"/>
    <col min="27" max="28" width="12.6640625" bestFit="1" customWidth="1"/>
    <col min="30" max="31" width="12.6640625" bestFit="1" customWidth="1"/>
  </cols>
  <sheetData>
    <row r="1" spans="1:30" s="1" customFormat="1" ht="15" x14ac:dyDescent="0.4">
      <c r="D1" s="2"/>
      <c r="I1" s="2"/>
      <c r="L1" s="2"/>
      <c r="Q1" s="2"/>
      <c r="U1" s="2"/>
      <c r="X1" s="2"/>
      <c r="AA1" s="2"/>
      <c r="AD1" s="2"/>
    </row>
    <row r="2" spans="1:30" s="1" customFormat="1" ht="15" x14ac:dyDescent="0.4">
      <c r="B2" s="2"/>
      <c r="C2" s="2"/>
      <c r="D2" s="2"/>
      <c r="E2" s="2"/>
      <c r="F2" s="2"/>
      <c r="G2" s="2"/>
      <c r="H2" s="2"/>
      <c r="I2" s="2"/>
      <c r="R2" s="2"/>
      <c r="S2" s="2"/>
      <c r="T2" s="2"/>
      <c r="U2" s="2"/>
      <c r="V2" s="2"/>
      <c r="W2" s="2"/>
      <c r="X2" s="2"/>
      <c r="Y2" s="2"/>
    </row>
    <row r="3" spans="1:30" s="1" customFormat="1" ht="15" x14ac:dyDescent="0.4">
      <c r="A3" s="1" t="s">
        <v>512</v>
      </c>
      <c r="B3" s="1">
        <v>100000</v>
      </c>
      <c r="C3" s="1">
        <v>200000</v>
      </c>
      <c r="D3" s="1">
        <v>300000</v>
      </c>
      <c r="E3" s="1">
        <v>400000</v>
      </c>
      <c r="F3" s="1">
        <v>500000</v>
      </c>
      <c r="G3" s="1">
        <v>650000</v>
      </c>
      <c r="H3" s="1">
        <v>800000</v>
      </c>
      <c r="I3" s="1">
        <v>1000000</v>
      </c>
      <c r="Q3" s="1" t="s">
        <v>512</v>
      </c>
      <c r="R3" s="1">
        <v>100000</v>
      </c>
      <c r="S3" s="1">
        <v>200000</v>
      </c>
      <c r="T3" s="1">
        <v>300000</v>
      </c>
      <c r="U3" s="1">
        <v>400000</v>
      </c>
      <c r="V3" s="1">
        <v>500000</v>
      </c>
      <c r="W3" s="1">
        <v>650000</v>
      </c>
      <c r="X3" s="1">
        <v>800000</v>
      </c>
      <c r="Y3" s="1">
        <v>1000000</v>
      </c>
    </row>
    <row r="4" spans="1:30" s="1" customFormat="1" ht="15" x14ac:dyDescent="0.4">
      <c r="A4" s="1" t="s">
        <v>511</v>
      </c>
      <c r="B4" s="1">
        <f>C4/4</f>
        <v>23.912663157894741</v>
      </c>
      <c r="C4" s="1">
        <f>C5</f>
        <v>95.650652631578964</v>
      </c>
      <c r="D4" s="1">
        <f>C4*(D3/C3)^2</f>
        <v>215.21396842105267</v>
      </c>
      <c r="E4" s="1">
        <f t="shared" ref="E4:I4" si="0">D4*(E3/D3)^2</f>
        <v>382.60261052631586</v>
      </c>
      <c r="F4" s="1">
        <f t="shared" si="0"/>
        <v>597.8165789473685</v>
      </c>
      <c r="G4" s="1">
        <f t="shared" si="0"/>
        <v>1010.3100184210529</v>
      </c>
      <c r="H4" s="1">
        <f t="shared" si="0"/>
        <v>1530.4104421052637</v>
      </c>
      <c r="I4" s="1">
        <f t="shared" si="0"/>
        <v>2391.2663157894744</v>
      </c>
      <c r="Q4" s="1" t="s">
        <v>511</v>
      </c>
      <c r="R4" s="1">
        <f>LN(R3)/LN(S3)*R3/S3*S4</f>
        <v>0.15841764925179028</v>
      </c>
      <c r="S4" s="1">
        <f>S5</f>
        <v>0.33591068421052633</v>
      </c>
      <c r="T4" s="1">
        <f>LN(T3)/LN(S3)*T3/S3*S4</f>
        <v>0.52060360430382291</v>
      </c>
      <c r="U4" s="1">
        <f>LN(U3)/LN(T3)*U3/T3*T4</f>
        <v>0.70997213983494434</v>
      </c>
      <c r="V4" s="1">
        <f t="shared" ref="U4:Y4" si="1">LN(V3)/LN(U3)*V3/U3*U4</f>
        <v>0.9028174312433771</v>
      </c>
      <c r="W4" s="1">
        <f t="shared" si="1"/>
        <v>1.1971284900428032</v>
      </c>
      <c r="X4" s="1">
        <f t="shared" si="1"/>
        <v>1.496245822497672</v>
      </c>
      <c r="Y4" s="1">
        <f t="shared" si="1"/>
        <v>1.9010117910214834</v>
      </c>
    </row>
    <row r="5" spans="1:30" s="1" customFormat="1" ht="15" x14ac:dyDescent="0.4">
      <c r="A5" s="1" t="s">
        <v>510</v>
      </c>
      <c r="B5" s="1">
        <f>AVERAGE(B7:B25)</f>
        <v>23.735084210526313</v>
      </c>
      <c r="C5" s="1">
        <f t="shared" ref="C5:I5" si="2">AVERAGE(C7:C25)</f>
        <v>95.650652631578964</v>
      </c>
      <c r="D5" s="1">
        <f t="shared" si="2"/>
        <v>215.82794736842109</v>
      </c>
      <c r="E5" s="1">
        <f t="shared" si="2"/>
        <v>387.37836842105264</v>
      </c>
      <c r="F5" s="1">
        <f t="shared" si="2"/>
        <v>601.77582352941192</v>
      </c>
      <c r="G5" s="1">
        <f t="shared" si="2"/>
        <v>1102.7409999999998</v>
      </c>
      <c r="H5" s="1">
        <f t="shared" si="2"/>
        <v>1533.8490909090908</v>
      </c>
      <c r="I5" s="1">
        <f t="shared" si="2"/>
        <v>2390.7663157894735</v>
      </c>
      <c r="Q5" s="1" t="s">
        <v>510</v>
      </c>
      <c r="R5" s="1">
        <f>AVERAGE(R7:R25)</f>
        <v>0.15479642105263156</v>
      </c>
      <c r="S5" s="1">
        <f t="shared" ref="S5:Y5" si="3">AVERAGE(S7:S25)</f>
        <v>0.33591068421052633</v>
      </c>
      <c r="T5" s="1">
        <f t="shared" si="3"/>
        <v>0.53864157894736842</v>
      </c>
      <c r="U5" s="1">
        <f t="shared" si="3"/>
        <v>0.71019452631578961</v>
      </c>
      <c r="V5" s="1">
        <f t="shared" si="3"/>
        <v>0.85050894117647058</v>
      </c>
      <c r="W5" s="1">
        <f t="shared" si="3"/>
        <v>1.3066409999999997</v>
      </c>
      <c r="X5" s="1">
        <f t="shared" si="3"/>
        <v>1.5041127272727273</v>
      </c>
      <c r="Y5" s="1">
        <f t="shared" si="3"/>
        <v>1.8153684210526315</v>
      </c>
    </row>
    <row r="6" spans="1:30" s="1" customFormat="1" ht="15" x14ac:dyDescent="0.4">
      <c r="B6" s="2">
        <v>24.0623</v>
      </c>
      <c r="C6" s="2">
        <v>96.261600000000001</v>
      </c>
      <c r="D6" s="2">
        <v>214.334</v>
      </c>
      <c r="E6" s="2">
        <v>388.76799999999997</v>
      </c>
      <c r="F6" s="2">
        <v>625.30799999999999</v>
      </c>
      <c r="G6" s="2">
        <v>1103.51</v>
      </c>
      <c r="H6" s="2">
        <v>1542.23</v>
      </c>
      <c r="I6" s="2">
        <v>2361.54</v>
      </c>
      <c r="R6" s="2">
        <v>0.16751199999999999</v>
      </c>
      <c r="S6" s="2">
        <v>0.33534799999999998</v>
      </c>
      <c r="T6" s="2">
        <v>0.52508699999999997</v>
      </c>
      <c r="U6" s="2">
        <v>0.70776799999999995</v>
      </c>
      <c r="V6" s="2">
        <v>0.91756000000000004</v>
      </c>
      <c r="W6" s="2">
        <v>1.2570399999999999</v>
      </c>
      <c r="X6" s="2">
        <v>1.4955499999999999</v>
      </c>
      <c r="Y6" s="2">
        <v>1.80592</v>
      </c>
    </row>
    <row r="7" spans="1:30" s="1" customFormat="1" ht="15" x14ac:dyDescent="0.4">
      <c r="B7" s="2">
        <v>23.6617</v>
      </c>
      <c r="C7" s="2">
        <v>97.209100000000007</v>
      </c>
      <c r="D7" s="2">
        <v>214.94300000000001</v>
      </c>
      <c r="E7" s="2">
        <v>388.49700000000001</v>
      </c>
      <c r="F7" s="2">
        <v>613.29399999999998</v>
      </c>
      <c r="G7" s="2">
        <v>1115.8499999999999</v>
      </c>
      <c r="H7" s="2">
        <v>1525.72</v>
      </c>
      <c r="I7" s="2">
        <v>2364.46</v>
      </c>
      <c r="R7" s="2">
        <v>0.15209800000000001</v>
      </c>
      <c r="S7" s="2">
        <v>0.334951</v>
      </c>
      <c r="T7" s="2">
        <v>0.57827200000000001</v>
      </c>
      <c r="U7" s="2">
        <v>0.69257599999999997</v>
      </c>
      <c r="V7" s="2">
        <v>0.86893100000000001</v>
      </c>
      <c r="W7" s="2">
        <v>1.29942</v>
      </c>
      <c r="X7" s="2">
        <v>1.48193</v>
      </c>
      <c r="Y7" s="2">
        <v>1.87012</v>
      </c>
    </row>
    <row r="8" spans="1:30" s="1" customFormat="1" ht="15" x14ac:dyDescent="0.4">
      <c r="B8" s="2">
        <v>23.712599999999998</v>
      </c>
      <c r="C8" s="2">
        <v>96.374099999999999</v>
      </c>
      <c r="D8" s="2">
        <v>213.76300000000001</v>
      </c>
      <c r="E8" s="2">
        <v>383.02100000000002</v>
      </c>
      <c r="F8" s="2">
        <v>604.26499999999999</v>
      </c>
      <c r="G8" s="2">
        <v>1122.92</v>
      </c>
      <c r="H8" s="2">
        <v>1528.48</v>
      </c>
      <c r="I8" s="2">
        <v>2359.6</v>
      </c>
      <c r="R8" s="2">
        <v>0.15295500000000001</v>
      </c>
      <c r="S8" s="2">
        <v>0.33661600000000003</v>
      </c>
      <c r="T8" s="2">
        <v>0.53164100000000003</v>
      </c>
      <c r="U8" s="2">
        <v>0.69638699999999998</v>
      </c>
      <c r="V8" s="2">
        <v>0.842754</v>
      </c>
      <c r="W8" s="2">
        <v>1.2604599999999999</v>
      </c>
      <c r="X8" s="2">
        <v>1.4858100000000001</v>
      </c>
      <c r="Y8" s="2">
        <v>1.7888200000000001</v>
      </c>
    </row>
    <row r="9" spans="1:30" s="1" customFormat="1" ht="15" x14ac:dyDescent="0.4">
      <c r="B9" s="2">
        <v>23.901299999999999</v>
      </c>
      <c r="C9" s="2">
        <v>95.723399999999998</v>
      </c>
      <c r="D9" s="2">
        <v>214.48099999999999</v>
      </c>
      <c r="E9" s="2">
        <v>383.32799999999997</v>
      </c>
      <c r="F9" s="2">
        <v>603.91999999999996</v>
      </c>
      <c r="G9" s="2">
        <v>1062.99</v>
      </c>
      <c r="H9" s="2">
        <v>1534.94</v>
      </c>
      <c r="I9" s="2">
        <v>2357.73</v>
      </c>
      <c r="R9" s="2">
        <v>0.16067500000000001</v>
      </c>
      <c r="S9" s="2">
        <v>0.33398499999999998</v>
      </c>
      <c r="T9" s="2">
        <v>0.53144599999999997</v>
      </c>
      <c r="U9" s="2">
        <v>0.69871300000000003</v>
      </c>
      <c r="V9" s="2">
        <v>0.83651900000000001</v>
      </c>
      <c r="W9" s="2">
        <v>1.34297</v>
      </c>
      <c r="X9" s="2">
        <v>1.47011</v>
      </c>
      <c r="Y9" s="2">
        <v>1.78721</v>
      </c>
    </row>
    <row r="10" spans="1:30" s="1" customFormat="1" ht="15" x14ac:dyDescent="0.4">
      <c r="B10" s="2">
        <v>23.715800000000002</v>
      </c>
      <c r="C10" s="2">
        <v>96.010999999999996</v>
      </c>
      <c r="D10" s="2">
        <v>214.303</v>
      </c>
      <c r="E10" s="2">
        <v>385.16699999999997</v>
      </c>
      <c r="F10" s="2">
        <v>603.70299999999997</v>
      </c>
      <c r="G10" s="2">
        <v>1140.74</v>
      </c>
      <c r="H10" s="2">
        <v>1537.37</v>
      </c>
      <c r="I10" s="2">
        <v>2355.08</v>
      </c>
      <c r="R10" s="2">
        <v>0.152804</v>
      </c>
      <c r="S10" s="2">
        <v>0.33355899999999999</v>
      </c>
      <c r="T10" s="2">
        <v>0.56994299999999998</v>
      </c>
      <c r="U10" s="2">
        <v>0.69323500000000005</v>
      </c>
      <c r="V10" s="2">
        <v>0.84676899999999999</v>
      </c>
      <c r="W10" s="2">
        <v>1.3655200000000001</v>
      </c>
      <c r="X10" s="2">
        <v>1.5347900000000001</v>
      </c>
      <c r="Y10" s="2">
        <v>1.7884800000000001</v>
      </c>
    </row>
    <row r="11" spans="1:30" s="1" customFormat="1" ht="15" x14ac:dyDescent="0.4">
      <c r="B11" s="2">
        <v>24.055</v>
      </c>
      <c r="C11" s="2">
        <v>96.034700000000001</v>
      </c>
      <c r="D11" s="2">
        <v>214.60300000000001</v>
      </c>
      <c r="E11" s="2">
        <v>382.077</v>
      </c>
      <c r="F11" s="2">
        <v>602.976</v>
      </c>
      <c r="G11" s="2">
        <v>1071.5</v>
      </c>
      <c r="H11" s="2">
        <v>1531.75</v>
      </c>
      <c r="I11" s="2">
        <v>2360.77</v>
      </c>
      <c r="R11" s="2">
        <v>0.15319199999999999</v>
      </c>
      <c r="S11" s="2">
        <v>0.35009400000000002</v>
      </c>
      <c r="T11" s="2">
        <v>0.54628600000000005</v>
      </c>
      <c r="U11" s="2">
        <v>0.70855900000000005</v>
      </c>
      <c r="V11" s="2">
        <v>0.85801499999999997</v>
      </c>
      <c r="W11" s="2">
        <v>1.3029500000000001</v>
      </c>
      <c r="X11" s="2">
        <v>1.5042199999999999</v>
      </c>
      <c r="Y11" s="2">
        <v>1.7792600000000001</v>
      </c>
    </row>
    <row r="12" spans="1:30" s="1" customFormat="1" ht="15" x14ac:dyDescent="0.4">
      <c r="B12" s="2">
        <v>23.784500000000001</v>
      </c>
      <c r="C12" s="2">
        <v>95.258399999999995</v>
      </c>
      <c r="D12" s="2">
        <v>213.446</v>
      </c>
      <c r="E12" s="2">
        <v>384.25900000000001</v>
      </c>
      <c r="F12" s="2">
        <v>602.23500000000001</v>
      </c>
      <c r="G12" s="2">
        <v>1140.78</v>
      </c>
      <c r="H12" s="2">
        <v>1530.03</v>
      </c>
      <c r="I12" s="2">
        <v>2362.23</v>
      </c>
      <c r="R12" s="2">
        <v>0.15246299999999999</v>
      </c>
      <c r="S12" s="2">
        <v>0.34859499999999999</v>
      </c>
      <c r="T12" s="2">
        <v>0.53319700000000003</v>
      </c>
      <c r="U12" s="2">
        <v>0.70030899999999996</v>
      </c>
      <c r="V12" s="2">
        <v>0.85303499999999999</v>
      </c>
      <c r="W12" s="2">
        <v>1.3544700000000001</v>
      </c>
      <c r="X12" s="2">
        <v>1.5407200000000001</v>
      </c>
      <c r="Y12" s="2">
        <v>1.78986</v>
      </c>
    </row>
    <row r="13" spans="1:30" s="1" customFormat="1" ht="15" x14ac:dyDescent="0.4">
      <c r="B13" s="2">
        <v>23.7043</v>
      </c>
      <c r="C13" s="2">
        <v>94.618499999999997</v>
      </c>
      <c r="D13" s="2">
        <v>213.89699999999999</v>
      </c>
      <c r="E13" s="2">
        <v>385.63299999999998</v>
      </c>
      <c r="F13" s="2">
        <v>602.03599999999994</v>
      </c>
      <c r="G13" s="2">
        <v>1066.1099999999999</v>
      </c>
      <c r="H13" s="2">
        <v>1529.91</v>
      </c>
      <c r="I13" s="2">
        <v>2387.41</v>
      </c>
      <c r="R13" s="2">
        <v>0.15352299999999999</v>
      </c>
      <c r="S13" s="2">
        <v>0.34628500000000001</v>
      </c>
      <c r="T13" s="2">
        <v>0.519513</v>
      </c>
      <c r="U13" s="2">
        <v>0.70539600000000002</v>
      </c>
      <c r="V13" s="2">
        <v>0.86375999999999997</v>
      </c>
      <c r="W13" s="2">
        <v>1.2764599999999999</v>
      </c>
      <c r="X13" s="2">
        <v>1.4742200000000001</v>
      </c>
      <c r="Y13" s="2">
        <v>1.8399700000000001</v>
      </c>
    </row>
    <row r="14" spans="1:30" s="1" customFormat="1" ht="15" x14ac:dyDescent="0.4">
      <c r="B14" s="2">
        <v>23.648700000000002</v>
      </c>
      <c r="C14" s="2">
        <v>94.787099999999995</v>
      </c>
      <c r="D14" s="2">
        <v>217.19399999999999</v>
      </c>
      <c r="E14" s="2">
        <v>384.49799999999999</v>
      </c>
      <c r="F14" s="2">
        <v>603.39800000000002</v>
      </c>
      <c r="G14" s="2">
        <v>1120.8900000000001</v>
      </c>
      <c r="H14" s="2">
        <v>1547.95</v>
      </c>
      <c r="I14" s="2">
        <v>2419.7199999999998</v>
      </c>
      <c r="R14" s="2">
        <v>0.15545500000000001</v>
      </c>
      <c r="S14" s="2">
        <v>0.332422</v>
      </c>
      <c r="T14" s="2">
        <v>0.55723599999999995</v>
      </c>
      <c r="U14" s="2">
        <v>0.73081300000000005</v>
      </c>
      <c r="V14" s="2">
        <v>0.90367799999999998</v>
      </c>
      <c r="W14" s="2">
        <v>1.2805200000000001</v>
      </c>
      <c r="X14" s="2">
        <v>1.48244</v>
      </c>
      <c r="Y14" s="2">
        <v>1.82534</v>
      </c>
    </row>
    <row r="15" spans="1:30" s="1" customFormat="1" ht="15" x14ac:dyDescent="0.4">
      <c r="B15" s="2">
        <v>23.655100000000001</v>
      </c>
      <c r="C15" s="2">
        <v>94.915199999999999</v>
      </c>
      <c r="D15" s="2">
        <v>215.12299999999999</v>
      </c>
      <c r="E15" s="2">
        <v>386.17899999999997</v>
      </c>
      <c r="F15" s="2">
        <v>601.46299999999997</v>
      </c>
      <c r="G15" s="2">
        <v>1056.1400000000001</v>
      </c>
      <c r="H15" s="2">
        <v>1546.86</v>
      </c>
      <c r="I15" s="2">
        <v>2416.8000000000002</v>
      </c>
      <c r="R15" s="2">
        <v>0.153306</v>
      </c>
      <c r="S15" s="2">
        <v>0.335841</v>
      </c>
      <c r="T15" s="2">
        <v>0.54219700000000004</v>
      </c>
      <c r="U15" s="2">
        <v>0.69425199999999998</v>
      </c>
      <c r="V15" s="2">
        <v>0.84742600000000001</v>
      </c>
      <c r="W15" s="2">
        <v>1.26644</v>
      </c>
      <c r="X15" s="2">
        <v>1.5152000000000001</v>
      </c>
      <c r="Y15" s="2">
        <v>1.8168899999999999</v>
      </c>
    </row>
    <row r="16" spans="1:30" s="1" customFormat="1" ht="15" x14ac:dyDescent="0.4">
      <c r="B16" s="2">
        <v>23.783899999999999</v>
      </c>
      <c r="C16" s="2">
        <v>95.366</v>
      </c>
      <c r="D16" s="2">
        <v>215.02099999999999</v>
      </c>
      <c r="E16" s="2">
        <v>386.30500000000001</v>
      </c>
      <c r="F16" s="2">
        <v>600.04999999999995</v>
      </c>
      <c r="G16" s="2">
        <v>1129.49</v>
      </c>
      <c r="H16" s="2">
        <v>1548.36</v>
      </c>
      <c r="I16" s="2">
        <v>2412.06</v>
      </c>
      <c r="R16" s="2">
        <v>0.156834</v>
      </c>
      <c r="S16" s="2">
        <v>0.32915899999999998</v>
      </c>
      <c r="T16" s="2">
        <v>0.52675000000000005</v>
      </c>
      <c r="U16" s="2">
        <v>0.73309199999999997</v>
      </c>
      <c r="V16" s="2">
        <v>0.85370999999999997</v>
      </c>
      <c r="W16" s="2">
        <v>1.3171999999999999</v>
      </c>
      <c r="X16" s="2">
        <v>1.5019</v>
      </c>
      <c r="Y16" s="2">
        <v>1.82931</v>
      </c>
    </row>
    <row r="17" spans="2:25" s="1" customFormat="1" ht="15" x14ac:dyDescent="0.4">
      <c r="B17" s="2">
        <v>23.7166</v>
      </c>
      <c r="C17" s="2">
        <v>95.120500000000007</v>
      </c>
      <c r="D17" s="2">
        <v>216.13800000000001</v>
      </c>
      <c r="E17" s="2">
        <v>386.13</v>
      </c>
      <c r="F17" s="2">
        <v>601.76800000000003</v>
      </c>
      <c r="H17" s="2">
        <v>1510.97</v>
      </c>
      <c r="I17" s="2">
        <v>2422.2399999999998</v>
      </c>
      <c r="R17" s="2">
        <v>0.163719</v>
      </c>
      <c r="S17" s="2">
        <v>0.33080799999999999</v>
      </c>
      <c r="T17" s="2">
        <v>0.53214899999999998</v>
      </c>
      <c r="U17" s="2">
        <v>0.70284199999999997</v>
      </c>
      <c r="V17" s="2">
        <v>0.84458299999999997</v>
      </c>
      <c r="X17" s="2">
        <v>1.5539000000000001</v>
      </c>
      <c r="Y17" s="2">
        <v>1.8580399999999999</v>
      </c>
    </row>
    <row r="18" spans="2:25" s="1" customFormat="1" ht="15" x14ac:dyDescent="0.4">
      <c r="B18" s="2">
        <v>23.658000000000001</v>
      </c>
      <c r="C18" s="2">
        <v>95.020099999999999</v>
      </c>
      <c r="D18" s="2">
        <v>215.13399999999999</v>
      </c>
      <c r="E18" s="2">
        <v>403.88799999999998</v>
      </c>
      <c r="F18" s="2">
        <v>598.21</v>
      </c>
      <c r="I18" s="2">
        <v>2383.6799999999998</v>
      </c>
      <c r="R18" s="2">
        <v>0.15235000000000001</v>
      </c>
      <c r="S18" s="2">
        <v>0.33039000000000002</v>
      </c>
      <c r="T18" s="2">
        <v>0.55328699999999997</v>
      </c>
      <c r="U18" s="2">
        <v>0.70763299999999996</v>
      </c>
      <c r="V18" s="2">
        <v>0.84543400000000002</v>
      </c>
      <c r="Y18" s="2">
        <v>1.79948</v>
      </c>
    </row>
    <row r="19" spans="2:25" s="1" customFormat="1" ht="15" x14ac:dyDescent="0.4">
      <c r="B19" s="2">
        <v>23.607600000000001</v>
      </c>
      <c r="C19" s="2">
        <v>95.334199999999996</v>
      </c>
      <c r="D19" s="2">
        <v>216.072</v>
      </c>
      <c r="E19" s="2">
        <v>399.85700000000003</v>
      </c>
      <c r="F19" s="2">
        <v>598.46299999999997</v>
      </c>
      <c r="I19" s="2">
        <v>2377.7800000000002</v>
      </c>
      <c r="R19" s="2">
        <v>0.151947</v>
      </c>
      <c r="S19" s="2">
        <v>0.32928200000000002</v>
      </c>
      <c r="T19" s="2">
        <v>0.52124999999999999</v>
      </c>
      <c r="U19" s="2">
        <v>0.728163</v>
      </c>
      <c r="V19" s="2">
        <v>0.83366799999999996</v>
      </c>
      <c r="Y19" s="2">
        <v>1.80332</v>
      </c>
    </row>
    <row r="20" spans="2:25" s="1" customFormat="1" ht="15" x14ac:dyDescent="0.4">
      <c r="B20" s="2">
        <v>23.639399999999998</v>
      </c>
      <c r="C20" s="2">
        <v>95.100099999999998</v>
      </c>
      <c r="D20" s="2">
        <v>218.61699999999999</v>
      </c>
      <c r="E20" s="2">
        <v>385.31299999999999</v>
      </c>
      <c r="F20" s="2">
        <v>596.72299999999996</v>
      </c>
      <c r="I20" s="2">
        <v>2403.15</v>
      </c>
      <c r="R20" s="2">
        <v>0.152674</v>
      </c>
      <c r="S20" s="2">
        <v>0.33485399999999998</v>
      </c>
      <c r="T20" s="2">
        <v>0.53566000000000003</v>
      </c>
      <c r="U20" s="2">
        <v>0.70513899999999996</v>
      </c>
      <c r="V20" s="2">
        <v>0.832206</v>
      </c>
      <c r="Y20" s="2">
        <v>1.83815</v>
      </c>
    </row>
    <row r="21" spans="2:25" s="1" customFormat="1" ht="15" x14ac:dyDescent="0.4">
      <c r="B21" s="2">
        <v>23.7806</v>
      </c>
      <c r="C21" s="2">
        <v>94.902699999999996</v>
      </c>
      <c r="D21" s="2">
        <v>217.25299999999999</v>
      </c>
      <c r="E21" s="2">
        <v>387.67500000000001</v>
      </c>
      <c r="F21" s="2">
        <v>599.50400000000002</v>
      </c>
      <c r="I21" s="2">
        <v>2397.6</v>
      </c>
      <c r="R21" s="2">
        <v>0.163131</v>
      </c>
      <c r="S21" s="2">
        <v>0.33619399999999999</v>
      </c>
      <c r="T21" s="2">
        <v>0.53777900000000001</v>
      </c>
      <c r="U21" s="2">
        <v>0.73982300000000001</v>
      </c>
      <c r="V21" s="2">
        <v>0.835345</v>
      </c>
      <c r="Y21" s="2">
        <v>1.8367800000000001</v>
      </c>
    </row>
    <row r="22" spans="2:25" s="1" customFormat="1" ht="15" x14ac:dyDescent="0.4">
      <c r="B22" s="2">
        <v>23.724699999999999</v>
      </c>
      <c r="C22" s="2">
        <v>98.147000000000006</v>
      </c>
      <c r="D22" s="2">
        <v>217.875</v>
      </c>
      <c r="E22" s="2">
        <v>386.31599999999997</v>
      </c>
      <c r="F22" s="2">
        <v>598.12</v>
      </c>
      <c r="I22" s="2">
        <v>2418.56</v>
      </c>
      <c r="R22" s="2">
        <v>0.15410699999999999</v>
      </c>
      <c r="S22" s="2">
        <v>0.32921499999999998</v>
      </c>
      <c r="T22" s="2">
        <v>0.52419000000000004</v>
      </c>
      <c r="U22" s="2">
        <v>0.71866399999999997</v>
      </c>
      <c r="V22" s="2">
        <v>0.866309</v>
      </c>
      <c r="Y22" s="2">
        <v>1.83209</v>
      </c>
    </row>
    <row r="23" spans="2:25" s="1" customFormat="1" ht="15" x14ac:dyDescent="0.4">
      <c r="B23" s="2">
        <v>23.945900000000002</v>
      </c>
      <c r="C23" s="2">
        <v>96.518000000000001</v>
      </c>
      <c r="D23" s="2">
        <v>217.858</v>
      </c>
      <c r="E23" s="2">
        <v>385.56400000000002</v>
      </c>
      <c r="F23" s="2">
        <v>600.06100000000004</v>
      </c>
      <c r="I23" s="2">
        <v>2439.0500000000002</v>
      </c>
      <c r="R23" s="2">
        <v>0.15148800000000001</v>
      </c>
      <c r="S23" s="2">
        <v>0.33119500000000002</v>
      </c>
      <c r="T23" s="2">
        <v>0.54503000000000001</v>
      </c>
      <c r="U23" s="2">
        <v>0.71171200000000001</v>
      </c>
      <c r="V23" s="2">
        <v>0.82650999999999997</v>
      </c>
      <c r="Y23" s="2">
        <v>1.8059700000000001</v>
      </c>
    </row>
    <row r="24" spans="2:25" s="1" customFormat="1" ht="15" x14ac:dyDescent="0.4">
      <c r="B24" s="2">
        <v>23.644200000000001</v>
      </c>
      <c r="C24" s="2">
        <v>95.700100000000006</v>
      </c>
      <c r="D24" s="2">
        <v>217.946</v>
      </c>
      <c r="E24" s="2">
        <v>389.62400000000002</v>
      </c>
      <c r="F24" s="3"/>
      <c r="I24" s="2">
        <v>2404.35</v>
      </c>
      <c r="R24" s="2">
        <v>0.15559799999999999</v>
      </c>
      <c r="S24" s="2">
        <v>0.34739700000000001</v>
      </c>
      <c r="T24" s="2">
        <v>0.52701100000000001</v>
      </c>
      <c r="U24" s="2">
        <v>0.72165900000000005</v>
      </c>
      <c r="Y24" s="2">
        <v>1.7940400000000001</v>
      </c>
    </row>
    <row r="25" spans="2:25" s="1" customFormat="1" ht="15" x14ac:dyDescent="0.4">
      <c r="B25" s="2">
        <v>23.6267</v>
      </c>
      <c r="C25" s="2">
        <v>95.222200000000001</v>
      </c>
      <c r="D25" s="2">
        <v>217.06399999999999</v>
      </c>
      <c r="E25" s="2">
        <v>386.858</v>
      </c>
      <c r="F25" s="3"/>
      <c r="I25" s="2">
        <v>2382.29</v>
      </c>
      <c r="R25" s="2">
        <v>0.152813</v>
      </c>
      <c r="S25" s="2">
        <v>0.33146100000000001</v>
      </c>
      <c r="T25" s="2">
        <v>0.52135299999999996</v>
      </c>
      <c r="U25" s="2">
        <v>0.70472900000000005</v>
      </c>
      <c r="Y25" s="2">
        <v>1.80887</v>
      </c>
    </row>
    <row r="26" spans="2:25" s="1" customFormat="1" ht="15" x14ac:dyDescent="0.4"/>
    <row r="27" spans="2:25" s="1" customFormat="1" ht="15" x14ac:dyDescent="0.4"/>
    <row r="28" spans="2:25" s="1" customFormat="1" ht="15" x14ac:dyDescent="0.4"/>
    <row r="41" spans="1:43" x14ac:dyDescent="0.4">
      <c r="A41">
        <v>100000</v>
      </c>
      <c r="G41">
        <v>200000</v>
      </c>
      <c r="M41">
        <v>300000</v>
      </c>
      <c r="S41">
        <v>400000</v>
      </c>
      <c r="Y41">
        <v>500000</v>
      </c>
      <c r="AE41">
        <v>650000</v>
      </c>
      <c r="AK41">
        <v>800000</v>
      </c>
      <c r="AQ41">
        <v>1000000</v>
      </c>
    </row>
    <row r="42" spans="1:43" x14ac:dyDescent="0.4">
      <c r="A42">
        <v>0</v>
      </c>
      <c r="G42">
        <v>0</v>
      </c>
      <c r="M42">
        <v>0</v>
      </c>
      <c r="S42">
        <v>0</v>
      </c>
      <c r="Y42">
        <v>0</v>
      </c>
      <c r="AE42">
        <v>0</v>
      </c>
      <c r="AK42">
        <v>0</v>
      </c>
      <c r="AQ42">
        <v>0</v>
      </c>
    </row>
    <row r="43" spans="1:43" x14ac:dyDescent="0.4">
      <c r="A43" t="s">
        <v>0</v>
      </c>
      <c r="G43" t="s">
        <v>0</v>
      </c>
      <c r="M43" t="s">
        <v>0</v>
      </c>
      <c r="S43" t="s">
        <v>0</v>
      </c>
      <c r="Y43" t="s">
        <v>0</v>
      </c>
      <c r="AE43" t="s">
        <v>0</v>
      </c>
      <c r="AK43" t="s">
        <v>0</v>
      </c>
      <c r="AQ43" t="s">
        <v>0</v>
      </c>
    </row>
    <row r="44" spans="1:43" x14ac:dyDescent="0.4">
      <c r="A44" t="s">
        <v>74</v>
      </c>
      <c r="G44" t="s">
        <v>1</v>
      </c>
      <c r="M44" t="s">
        <v>145</v>
      </c>
      <c r="S44" t="s">
        <v>211</v>
      </c>
      <c r="Y44" t="s">
        <v>283</v>
      </c>
      <c r="AE44" t="s">
        <v>349</v>
      </c>
      <c r="AK44" t="s">
        <v>390</v>
      </c>
      <c r="AQ44" t="s">
        <v>436</v>
      </c>
    </row>
    <row r="45" spans="1:43" x14ac:dyDescent="0.4">
      <c r="A45" t="s">
        <v>75</v>
      </c>
      <c r="G45" t="s">
        <v>2</v>
      </c>
      <c r="M45" t="s">
        <v>146</v>
      </c>
      <c r="S45" t="s">
        <v>212</v>
      </c>
      <c r="Y45" t="s">
        <v>284</v>
      </c>
      <c r="AE45" t="s">
        <v>350</v>
      </c>
      <c r="AK45" t="s">
        <v>391</v>
      </c>
      <c r="AQ45" t="s">
        <v>437</v>
      </c>
    </row>
    <row r="46" spans="1:43" x14ac:dyDescent="0.4">
      <c r="A46" t="s">
        <v>3</v>
      </c>
      <c r="G46" t="s">
        <v>3</v>
      </c>
      <c r="M46" t="s">
        <v>3</v>
      </c>
      <c r="S46" t="s">
        <v>3</v>
      </c>
      <c r="Y46" t="s">
        <v>3</v>
      </c>
      <c r="AE46" t="s">
        <v>3</v>
      </c>
      <c r="AK46" t="s">
        <v>3</v>
      </c>
      <c r="AQ46" t="s">
        <v>3</v>
      </c>
    </row>
    <row r="47" spans="1:43" x14ac:dyDescent="0.4">
      <c r="A47" t="s">
        <v>76</v>
      </c>
      <c r="G47" t="s">
        <v>4</v>
      </c>
      <c r="M47" t="s">
        <v>145</v>
      </c>
      <c r="S47" t="s">
        <v>211</v>
      </c>
      <c r="Y47" t="s">
        <v>283</v>
      </c>
      <c r="AE47" t="s">
        <v>351</v>
      </c>
      <c r="AK47" t="s">
        <v>392</v>
      </c>
      <c r="AQ47" t="s">
        <v>438</v>
      </c>
    </row>
    <row r="48" spans="1:43" x14ac:dyDescent="0.4">
      <c r="A48" t="s">
        <v>77</v>
      </c>
      <c r="G48" t="s">
        <v>5</v>
      </c>
      <c r="M48" t="s">
        <v>147</v>
      </c>
      <c r="S48" t="s">
        <v>213</v>
      </c>
      <c r="Y48" t="s">
        <v>285</v>
      </c>
      <c r="AE48" t="s">
        <v>352</v>
      </c>
      <c r="AK48" t="s">
        <v>393</v>
      </c>
      <c r="AQ48" t="s">
        <v>439</v>
      </c>
    </row>
    <row r="50" spans="1:43" x14ac:dyDescent="0.4">
      <c r="A50">
        <v>1</v>
      </c>
      <c r="G50">
        <v>1</v>
      </c>
      <c r="M50">
        <v>1</v>
      </c>
      <c r="S50">
        <v>1</v>
      </c>
      <c r="Y50">
        <v>1</v>
      </c>
      <c r="AE50">
        <v>1</v>
      </c>
      <c r="AK50">
        <v>800000</v>
      </c>
      <c r="AQ50">
        <v>1</v>
      </c>
    </row>
    <row r="51" spans="1:43" x14ac:dyDescent="0.4">
      <c r="A51" t="s">
        <v>0</v>
      </c>
      <c r="G51" t="s">
        <v>0</v>
      </c>
      <c r="M51" t="s">
        <v>0</v>
      </c>
      <c r="S51" t="s">
        <v>0</v>
      </c>
      <c r="Y51" t="s">
        <v>0</v>
      </c>
      <c r="AE51" t="s">
        <v>0</v>
      </c>
      <c r="AK51">
        <v>800000</v>
      </c>
      <c r="AQ51" t="s">
        <v>0</v>
      </c>
    </row>
    <row r="52" spans="1:43" x14ac:dyDescent="0.4">
      <c r="A52" t="s">
        <v>78</v>
      </c>
      <c r="G52" t="s">
        <v>6</v>
      </c>
      <c r="M52" t="s">
        <v>148</v>
      </c>
      <c r="S52" t="s">
        <v>214</v>
      </c>
      <c r="Y52" t="s">
        <v>286</v>
      </c>
      <c r="AE52" t="s">
        <v>353</v>
      </c>
      <c r="AK52">
        <v>0</v>
      </c>
      <c r="AQ52" t="s">
        <v>440</v>
      </c>
    </row>
    <row r="53" spans="1:43" x14ac:dyDescent="0.4">
      <c r="A53" t="s">
        <v>79</v>
      </c>
      <c r="G53" t="s">
        <v>7</v>
      </c>
      <c r="M53" t="s">
        <v>149</v>
      </c>
      <c r="S53" t="s">
        <v>215</v>
      </c>
      <c r="Y53" t="s">
        <v>287</v>
      </c>
      <c r="AE53" t="s">
        <v>354</v>
      </c>
      <c r="AK53" t="s">
        <v>0</v>
      </c>
      <c r="AQ53" t="s">
        <v>441</v>
      </c>
    </row>
    <row r="54" spans="1:43" x14ac:dyDescent="0.4">
      <c r="A54" t="s">
        <v>3</v>
      </c>
      <c r="G54" t="s">
        <v>3</v>
      </c>
      <c r="M54" t="s">
        <v>3</v>
      </c>
      <c r="S54" t="s">
        <v>3</v>
      </c>
      <c r="Y54" t="s">
        <v>3</v>
      </c>
      <c r="AE54" t="s">
        <v>3</v>
      </c>
      <c r="AK54" t="s">
        <v>394</v>
      </c>
      <c r="AQ54" t="s">
        <v>3</v>
      </c>
    </row>
    <row r="55" spans="1:43" x14ac:dyDescent="0.4">
      <c r="A55" t="s">
        <v>80</v>
      </c>
      <c r="G55" t="s">
        <v>8</v>
      </c>
      <c r="M55" t="s">
        <v>150</v>
      </c>
      <c r="S55" t="s">
        <v>214</v>
      </c>
      <c r="Y55" t="s">
        <v>288</v>
      </c>
      <c r="AE55" t="s">
        <v>355</v>
      </c>
      <c r="AK55" t="s">
        <v>395</v>
      </c>
      <c r="AQ55" t="s">
        <v>442</v>
      </c>
    </row>
    <row r="56" spans="1:43" x14ac:dyDescent="0.4">
      <c r="A56" t="s">
        <v>81</v>
      </c>
      <c r="G56" t="s">
        <v>9</v>
      </c>
      <c r="M56" t="s">
        <v>151</v>
      </c>
      <c r="S56" t="s">
        <v>216</v>
      </c>
      <c r="Y56" t="s">
        <v>289</v>
      </c>
      <c r="AE56" t="s">
        <v>356</v>
      </c>
      <c r="AK56" t="s">
        <v>3</v>
      </c>
      <c r="AQ56" t="s">
        <v>443</v>
      </c>
    </row>
    <row r="57" spans="1:43" x14ac:dyDescent="0.4">
      <c r="AK57" t="s">
        <v>394</v>
      </c>
    </row>
    <row r="58" spans="1:43" x14ac:dyDescent="0.4">
      <c r="A58">
        <v>2</v>
      </c>
      <c r="G58">
        <v>2</v>
      </c>
      <c r="M58">
        <v>2</v>
      </c>
      <c r="S58">
        <v>2</v>
      </c>
      <c r="Y58">
        <v>2</v>
      </c>
      <c r="AE58">
        <v>650000</v>
      </c>
      <c r="AK58" t="s">
        <v>396</v>
      </c>
      <c r="AQ58">
        <v>2</v>
      </c>
    </row>
    <row r="59" spans="1:43" x14ac:dyDescent="0.4">
      <c r="A59" t="s">
        <v>0</v>
      </c>
      <c r="G59" t="s">
        <v>0</v>
      </c>
      <c r="M59" t="s">
        <v>0</v>
      </c>
      <c r="S59" t="s">
        <v>0</v>
      </c>
      <c r="Y59" t="s">
        <v>0</v>
      </c>
      <c r="AE59">
        <v>2</v>
      </c>
      <c r="AQ59" t="s">
        <v>0</v>
      </c>
    </row>
    <row r="60" spans="1:43" x14ac:dyDescent="0.4">
      <c r="A60" t="s">
        <v>82</v>
      </c>
      <c r="G60" t="s">
        <v>10</v>
      </c>
      <c r="M60" t="s">
        <v>152</v>
      </c>
      <c r="S60" t="s">
        <v>217</v>
      </c>
      <c r="Y60" t="s">
        <v>290</v>
      </c>
      <c r="AE60" t="s">
        <v>0</v>
      </c>
      <c r="AK60">
        <v>1</v>
      </c>
      <c r="AQ60" t="s">
        <v>444</v>
      </c>
    </row>
    <row r="61" spans="1:43" x14ac:dyDescent="0.4">
      <c r="A61" t="s">
        <v>83</v>
      </c>
      <c r="G61" t="s">
        <v>11</v>
      </c>
      <c r="M61" t="s">
        <v>153</v>
      </c>
      <c r="S61" t="s">
        <v>218</v>
      </c>
      <c r="Y61" t="s">
        <v>291</v>
      </c>
      <c r="AE61" t="s">
        <v>357</v>
      </c>
      <c r="AK61" t="s">
        <v>0</v>
      </c>
      <c r="AQ61" t="s">
        <v>445</v>
      </c>
    </row>
    <row r="62" spans="1:43" x14ac:dyDescent="0.4">
      <c r="A62" t="s">
        <v>3</v>
      </c>
      <c r="G62" t="s">
        <v>3</v>
      </c>
      <c r="M62" t="s">
        <v>3</v>
      </c>
      <c r="S62" t="s">
        <v>3</v>
      </c>
      <c r="Y62" t="s">
        <v>3</v>
      </c>
      <c r="AE62" t="s">
        <v>358</v>
      </c>
      <c r="AK62" t="s">
        <v>397</v>
      </c>
      <c r="AQ62" t="s">
        <v>3</v>
      </c>
    </row>
    <row r="63" spans="1:43" x14ac:dyDescent="0.4">
      <c r="A63" t="s">
        <v>84</v>
      </c>
      <c r="G63" t="s">
        <v>12</v>
      </c>
      <c r="M63" t="s">
        <v>154</v>
      </c>
      <c r="S63" t="s">
        <v>217</v>
      </c>
      <c r="Y63" t="s">
        <v>292</v>
      </c>
      <c r="AE63" t="s">
        <v>3</v>
      </c>
      <c r="AK63" t="s">
        <v>398</v>
      </c>
      <c r="AQ63" t="s">
        <v>446</v>
      </c>
    </row>
    <row r="64" spans="1:43" x14ac:dyDescent="0.4">
      <c r="A64" t="s">
        <v>85</v>
      </c>
      <c r="G64" t="s">
        <v>13</v>
      </c>
      <c r="M64" t="s">
        <v>155</v>
      </c>
      <c r="S64" t="s">
        <v>219</v>
      </c>
      <c r="Y64" t="s">
        <v>293</v>
      </c>
      <c r="AE64" t="s">
        <v>359</v>
      </c>
      <c r="AK64" t="s">
        <v>3</v>
      </c>
      <c r="AQ64" t="s">
        <v>447</v>
      </c>
    </row>
    <row r="65" spans="1:43" x14ac:dyDescent="0.4">
      <c r="AE65" t="s">
        <v>360</v>
      </c>
      <c r="AK65" t="s">
        <v>397</v>
      </c>
    </row>
    <row r="66" spans="1:43" x14ac:dyDescent="0.4">
      <c r="A66">
        <v>3</v>
      </c>
      <c r="G66">
        <v>3</v>
      </c>
      <c r="M66">
        <v>3</v>
      </c>
      <c r="S66">
        <v>3</v>
      </c>
      <c r="Y66">
        <v>3</v>
      </c>
      <c r="AK66" t="s">
        <v>399</v>
      </c>
      <c r="AQ66">
        <v>3</v>
      </c>
    </row>
    <row r="67" spans="1:43" x14ac:dyDescent="0.4">
      <c r="A67" t="s">
        <v>0</v>
      </c>
      <c r="G67" t="s">
        <v>0</v>
      </c>
      <c r="M67" t="s">
        <v>0</v>
      </c>
      <c r="S67" t="s">
        <v>0</v>
      </c>
      <c r="Y67" t="s">
        <v>0</v>
      </c>
      <c r="AE67">
        <v>0</v>
      </c>
      <c r="AQ67" t="s">
        <v>0</v>
      </c>
    </row>
    <row r="68" spans="1:43" x14ac:dyDescent="0.4">
      <c r="A68" t="s">
        <v>86</v>
      </c>
      <c r="G68" t="s">
        <v>14</v>
      </c>
      <c r="M68" t="s">
        <v>156</v>
      </c>
      <c r="S68" t="s">
        <v>220</v>
      </c>
      <c r="Y68" t="s">
        <v>294</v>
      </c>
      <c r="AE68" t="s">
        <v>0</v>
      </c>
      <c r="AK68">
        <v>2</v>
      </c>
      <c r="AQ68" t="s">
        <v>448</v>
      </c>
    </row>
    <row r="69" spans="1:43" x14ac:dyDescent="0.4">
      <c r="A69" t="s">
        <v>87</v>
      </c>
      <c r="G69" t="s">
        <v>15</v>
      </c>
      <c r="M69" t="s">
        <v>157</v>
      </c>
      <c r="S69" t="s">
        <v>221</v>
      </c>
      <c r="Y69" t="s">
        <v>295</v>
      </c>
      <c r="AE69" t="s">
        <v>361</v>
      </c>
      <c r="AK69" t="s">
        <v>0</v>
      </c>
      <c r="AQ69" t="s">
        <v>449</v>
      </c>
    </row>
    <row r="70" spans="1:43" x14ac:dyDescent="0.4">
      <c r="A70" t="s">
        <v>3</v>
      </c>
      <c r="G70" t="s">
        <v>3</v>
      </c>
      <c r="M70" t="s">
        <v>3</v>
      </c>
      <c r="S70" t="s">
        <v>3</v>
      </c>
      <c r="Y70" t="s">
        <v>3</v>
      </c>
      <c r="AE70" t="s">
        <v>362</v>
      </c>
      <c r="AK70" t="s">
        <v>400</v>
      </c>
      <c r="AQ70" t="s">
        <v>3</v>
      </c>
    </row>
    <row r="71" spans="1:43" x14ac:dyDescent="0.4">
      <c r="A71" t="s">
        <v>88</v>
      </c>
      <c r="G71" t="s">
        <v>16</v>
      </c>
      <c r="M71" t="s">
        <v>158</v>
      </c>
      <c r="S71" t="s">
        <v>220</v>
      </c>
      <c r="Y71" t="s">
        <v>296</v>
      </c>
      <c r="AE71" t="s">
        <v>3</v>
      </c>
      <c r="AK71" t="s">
        <v>401</v>
      </c>
      <c r="AQ71" t="s">
        <v>450</v>
      </c>
    </row>
    <row r="72" spans="1:43" x14ac:dyDescent="0.4">
      <c r="A72" t="s">
        <v>89</v>
      </c>
      <c r="G72" t="s">
        <v>17</v>
      </c>
      <c r="M72" t="s">
        <v>159</v>
      </c>
      <c r="S72" t="s">
        <v>222</v>
      </c>
      <c r="Y72" t="s">
        <v>297</v>
      </c>
      <c r="AE72" t="s">
        <v>363</v>
      </c>
      <c r="AK72" t="s">
        <v>3</v>
      </c>
      <c r="AQ72" t="s">
        <v>451</v>
      </c>
    </row>
    <row r="73" spans="1:43" x14ac:dyDescent="0.4">
      <c r="AE73" t="s">
        <v>364</v>
      </c>
      <c r="AK73" t="s">
        <v>402</v>
      </c>
    </row>
    <row r="74" spans="1:43" x14ac:dyDescent="0.4">
      <c r="A74">
        <v>4</v>
      </c>
      <c r="G74">
        <v>4</v>
      </c>
      <c r="M74">
        <v>4</v>
      </c>
      <c r="S74">
        <v>4</v>
      </c>
      <c r="Y74">
        <v>4</v>
      </c>
      <c r="AK74" t="s">
        <v>403</v>
      </c>
      <c r="AQ74">
        <v>4</v>
      </c>
    </row>
    <row r="75" spans="1:43" x14ac:dyDescent="0.4">
      <c r="A75" t="s">
        <v>0</v>
      </c>
      <c r="G75" t="s">
        <v>0</v>
      </c>
      <c r="M75" t="s">
        <v>0</v>
      </c>
      <c r="S75" t="s">
        <v>0</v>
      </c>
      <c r="Y75" t="s">
        <v>0</v>
      </c>
      <c r="AE75">
        <v>3</v>
      </c>
      <c r="AQ75" t="s">
        <v>0</v>
      </c>
    </row>
    <row r="76" spans="1:43" x14ac:dyDescent="0.4">
      <c r="A76" t="s">
        <v>90</v>
      </c>
      <c r="G76" t="s">
        <v>18</v>
      </c>
      <c r="M76" t="s">
        <v>160</v>
      </c>
      <c r="S76" t="s">
        <v>223</v>
      </c>
      <c r="Y76" t="s">
        <v>298</v>
      </c>
      <c r="AE76" t="s">
        <v>0</v>
      </c>
      <c r="AK76">
        <v>0</v>
      </c>
      <c r="AQ76" t="s">
        <v>452</v>
      </c>
    </row>
    <row r="77" spans="1:43" x14ac:dyDescent="0.4">
      <c r="A77" t="s">
        <v>91</v>
      </c>
      <c r="G77" t="s">
        <v>19</v>
      </c>
      <c r="M77" t="s">
        <v>161</v>
      </c>
      <c r="S77" t="s">
        <v>224</v>
      </c>
      <c r="Y77" t="s">
        <v>299</v>
      </c>
      <c r="AE77" t="s">
        <v>365</v>
      </c>
      <c r="AK77" t="s">
        <v>0</v>
      </c>
      <c r="AQ77" t="s">
        <v>453</v>
      </c>
    </row>
    <row r="78" spans="1:43" x14ac:dyDescent="0.4">
      <c r="A78" t="s">
        <v>3</v>
      </c>
      <c r="G78" t="s">
        <v>3</v>
      </c>
      <c r="M78" t="s">
        <v>3</v>
      </c>
      <c r="S78" t="s">
        <v>3</v>
      </c>
      <c r="Y78" t="s">
        <v>3</v>
      </c>
      <c r="AE78" t="s">
        <v>366</v>
      </c>
      <c r="AK78" t="s">
        <v>404</v>
      </c>
      <c r="AQ78" t="s">
        <v>3</v>
      </c>
    </row>
    <row r="79" spans="1:43" x14ac:dyDescent="0.4">
      <c r="A79" t="s">
        <v>92</v>
      </c>
      <c r="G79" t="s">
        <v>20</v>
      </c>
      <c r="M79" t="s">
        <v>160</v>
      </c>
      <c r="S79" t="s">
        <v>223</v>
      </c>
      <c r="Y79" t="s">
        <v>298</v>
      </c>
      <c r="AE79" t="s">
        <v>3</v>
      </c>
      <c r="AK79" t="s">
        <v>405</v>
      </c>
      <c r="AQ79" t="s">
        <v>454</v>
      </c>
    </row>
    <row r="80" spans="1:43" x14ac:dyDescent="0.4">
      <c r="A80" t="s">
        <v>93</v>
      </c>
      <c r="G80" t="s">
        <v>21</v>
      </c>
      <c r="M80" t="s">
        <v>162</v>
      </c>
      <c r="S80" t="s">
        <v>225</v>
      </c>
      <c r="Y80" t="s">
        <v>300</v>
      </c>
      <c r="AE80" t="s">
        <v>365</v>
      </c>
      <c r="AK80" t="s">
        <v>3</v>
      </c>
      <c r="AQ80" t="s">
        <v>455</v>
      </c>
    </row>
    <row r="81" spans="1:43" x14ac:dyDescent="0.4">
      <c r="AE81" t="s">
        <v>367</v>
      </c>
      <c r="AK81" t="s">
        <v>406</v>
      </c>
    </row>
    <row r="82" spans="1:43" x14ac:dyDescent="0.4">
      <c r="A82">
        <v>5</v>
      </c>
      <c r="G82">
        <v>5</v>
      </c>
      <c r="M82">
        <v>5</v>
      </c>
      <c r="S82">
        <v>5</v>
      </c>
      <c r="Y82">
        <v>5</v>
      </c>
      <c r="AK82" t="s">
        <v>407</v>
      </c>
      <c r="AQ82">
        <v>5</v>
      </c>
    </row>
    <row r="83" spans="1:43" x14ac:dyDescent="0.4">
      <c r="A83" t="s">
        <v>0</v>
      </c>
      <c r="G83" t="s">
        <v>0</v>
      </c>
      <c r="M83" t="s">
        <v>0</v>
      </c>
      <c r="S83" t="s">
        <v>0</v>
      </c>
      <c r="Y83" t="s">
        <v>0</v>
      </c>
      <c r="AE83">
        <v>1</v>
      </c>
      <c r="AQ83" t="s">
        <v>0</v>
      </c>
    </row>
    <row r="84" spans="1:43" x14ac:dyDescent="0.4">
      <c r="A84" t="s">
        <v>94</v>
      </c>
      <c r="G84" t="s">
        <v>22</v>
      </c>
      <c r="M84" t="s">
        <v>163</v>
      </c>
      <c r="S84" t="s">
        <v>226</v>
      </c>
      <c r="Y84" t="s">
        <v>301</v>
      </c>
      <c r="AE84" t="s">
        <v>0</v>
      </c>
      <c r="AK84">
        <v>1</v>
      </c>
      <c r="AQ84" t="s">
        <v>456</v>
      </c>
    </row>
    <row r="85" spans="1:43" x14ac:dyDescent="0.4">
      <c r="A85" t="s">
        <v>95</v>
      </c>
      <c r="G85" t="s">
        <v>23</v>
      </c>
      <c r="M85" t="s">
        <v>164</v>
      </c>
      <c r="S85" t="s">
        <v>227</v>
      </c>
      <c r="Y85" t="s">
        <v>302</v>
      </c>
      <c r="AE85" t="s">
        <v>368</v>
      </c>
      <c r="AK85" t="s">
        <v>0</v>
      </c>
      <c r="AQ85" t="s">
        <v>457</v>
      </c>
    </row>
    <row r="86" spans="1:43" x14ac:dyDescent="0.4">
      <c r="A86" t="s">
        <v>3</v>
      </c>
      <c r="G86" t="s">
        <v>3</v>
      </c>
      <c r="M86" t="s">
        <v>3</v>
      </c>
      <c r="S86" t="s">
        <v>3</v>
      </c>
      <c r="Y86" t="s">
        <v>3</v>
      </c>
      <c r="AE86" t="s">
        <v>369</v>
      </c>
      <c r="AK86" t="s">
        <v>408</v>
      </c>
      <c r="AQ86" t="s">
        <v>3</v>
      </c>
    </row>
    <row r="87" spans="1:43" x14ac:dyDescent="0.4">
      <c r="A87" t="s">
        <v>96</v>
      </c>
      <c r="G87" t="s">
        <v>22</v>
      </c>
      <c r="M87" t="s">
        <v>163</v>
      </c>
      <c r="S87" t="s">
        <v>226</v>
      </c>
      <c r="Y87" t="s">
        <v>303</v>
      </c>
      <c r="AE87" t="s">
        <v>3</v>
      </c>
      <c r="AK87" t="s">
        <v>409</v>
      </c>
      <c r="AQ87" t="s">
        <v>458</v>
      </c>
    </row>
    <row r="88" spans="1:43" x14ac:dyDescent="0.4">
      <c r="A88" t="s">
        <v>97</v>
      </c>
      <c r="G88" t="s">
        <v>24</v>
      </c>
      <c r="M88" t="s">
        <v>165</v>
      </c>
      <c r="S88" t="s">
        <v>228</v>
      </c>
      <c r="Y88" t="s">
        <v>304</v>
      </c>
      <c r="AE88" t="s">
        <v>370</v>
      </c>
      <c r="AK88" t="s">
        <v>3</v>
      </c>
      <c r="AQ88" t="s">
        <v>459</v>
      </c>
    </row>
    <row r="89" spans="1:43" x14ac:dyDescent="0.4">
      <c r="AE89" t="s">
        <v>371</v>
      </c>
      <c r="AK89" t="s">
        <v>408</v>
      </c>
    </row>
    <row r="90" spans="1:43" x14ac:dyDescent="0.4">
      <c r="A90">
        <v>6</v>
      </c>
      <c r="G90">
        <v>6</v>
      </c>
      <c r="M90">
        <v>6</v>
      </c>
      <c r="S90">
        <v>0</v>
      </c>
      <c r="Y90">
        <v>6</v>
      </c>
      <c r="AK90" t="s">
        <v>410</v>
      </c>
      <c r="AQ90">
        <v>6</v>
      </c>
    </row>
    <row r="91" spans="1:43" x14ac:dyDescent="0.4">
      <c r="A91" t="s">
        <v>0</v>
      </c>
      <c r="G91" t="s">
        <v>0</v>
      </c>
      <c r="M91" t="s">
        <v>0</v>
      </c>
      <c r="S91" t="s">
        <v>0</v>
      </c>
      <c r="Y91" t="s">
        <v>0</v>
      </c>
      <c r="AE91">
        <v>4</v>
      </c>
      <c r="AQ91" t="s">
        <v>0</v>
      </c>
    </row>
    <row r="92" spans="1:43" x14ac:dyDescent="0.4">
      <c r="A92" t="s">
        <v>98</v>
      </c>
      <c r="G92" t="s">
        <v>25</v>
      </c>
      <c r="M92" t="s">
        <v>166</v>
      </c>
      <c r="S92" t="s">
        <v>229</v>
      </c>
      <c r="Y92" t="s">
        <v>305</v>
      </c>
      <c r="AE92" t="s">
        <v>0</v>
      </c>
      <c r="AK92">
        <v>2</v>
      </c>
      <c r="AQ92" t="s">
        <v>460</v>
      </c>
    </row>
    <row r="93" spans="1:43" x14ac:dyDescent="0.4">
      <c r="A93" t="s">
        <v>99</v>
      </c>
      <c r="G93" t="s">
        <v>26</v>
      </c>
      <c r="M93" t="s">
        <v>167</v>
      </c>
      <c r="S93" t="s">
        <v>230</v>
      </c>
      <c r="Y93" t="s">
        <v>306</v>
      </c>
      <c r="AE93" t="s">
        <v>372</v>
      </c>
      <c r="AK93" t="s">
        <v>0</v>
      </c>
      <c r="AQ93" t="s">
        <v>461</v>
      </c>
    </row>
    <row r="94" spans="1:43" x14ac:dyDescent="0.4">
      <c r="A94" t="s">
        <v>3</v>
      </c>
      <c r="G94" t="s">
        <v>3</v>
      </c>
      <c r="M94" t="s">
        <v>3</v>
      </c>
      <c r="S94" t="s">
        <v>3</v>
      </c>
      <c r="Y94" t="s">
        <v>3</v>
      </c>
      <c r="AE94" t="s">
        <v>373</v>
      </c>
      <c r="AK94" t="s">
        <v>411</v>
      </c>
      <c r="AQ94" t="s">
        <v>3</v>
      </c>
    </row>
    <row r="95" spans="1:43" x14ac:dyDescent="0.4">
      <c r="A95" t="s">
        <v>98</v>
      </c>
      <c r="G95" t="s">
        <v>27</v>
      </c>
      <c r="M95" t="s">
        <v>166</v>
      </c>
      <c r="S95" t="s">
        <v>231</v>
      </c>
      <c r="Y95" t="s">
        <v>307</v>
      </c>
      <c r="AE95" t="s">
        <v>3</v>
      </c>
      <c r="AK95" t="s">
        <v>412</v>
      </c>
      <c r="AQ95" t="s">
        <v>462</v>
      </c>
    </row>
    <row r="96" spans="1:43" x14ac:dyDescent="0.4">
      <c r="A96" t="s">
        <v>100</v>
      </c>
      <c r="G96" t="s">
        <v>28</v>
      </c>
      <c r="M96" t="s">
        <v>168</v>
      </c>
      <c r="S96" t="s">
        <v>232</v>
      </c>
      <c r="Y96" t="s">
        <v>308</v>
      </c>
      <c r="AE96" t="s">
        <v>374</v>
      </c>
      <c r="AK96" t="s">
        <v>3</v>
      </c>
      <c r="AQ96" t="s">
        <v>463</v>
      </c>
    </row>
    <row r="97" spans="1:43" x14ac:dyDescent="0.4">
      <c r="AE97" t="s">
        <v>375</v>
      </c>
      <c r="AK97" t="s">
        <v>413</v>
      </c>
    </row>
    <row r="98" spans="1:43" x14ac:dyDescent="0.4">
      <c r="A98">
        <v>7</v>
      </c>
      <c r="G98">
        <v>7</v>
      </c>
      <c r="M98">
        <v>7</v>
      </c>
      <c r="S98">
        <v>1</v>
      </c>
      <c r="Y98">
        <v>7</v>
      </c>
      <c r="AK98" t="s">
        <v>414</v>
      </c>
      <c r="AQ98">
        <v>1000000</v>
      </c>
    </row>
    <row r="99" spans="1:43" x14ac:dyDescent="0.4">
      <c r="A99" t="s">
        <v>0</v>
      </c>
      <c r="G99" t="s">
        <v>0</v>
      </c>
      <c r="M99" t="s">
        <v>0</v>
      </c>
      <c r="S99" t="s">
        <v>0</v>
      </c>
      <c r="Y99" t="s">
        <v>0</v>
      </c>
      <c r="AE99">
        <v>2</v>
      </c>
      <c r="AQ99">
        <v>7</v>
      </c>
    </row>
    <row r="100" spans="1:43" x14ac:dyDescent="0.4">
      <c r="A100" t="s">
        <v>101</v>
      </c>
      <c r="G100" t="s">
        <v>29</v>
      </c>
      <c r="M100" t="s">
        <v>169</v>
      </c>
      <c r="S100" t="s">
        <v>233</v>
      </c>
      <c r="Y100" t="s">
        <v>309</v>
      </c>
      <c r="AE100" t="s">
        <v>0</v>
      </c>
      <c r="AK100">
        <v>0</v>
      </c>
      <c r="AQ100" t="s">
        <v>0</v>
      </c>
    </row>
    <row r="101" spans="1:43" x14ac:dyDescent="0.4">
      <c r="A101" t="s">
        <v>102</v>
      </c>
      <c r="G101" t="s">
        <v>30</v>
      </c>
      <c r="M101" t="s">
        <v>170</v>
      </c>
      <c r="S101" t="s">
        <v>234</v>
      </c>
      <c r="Y101" t="s">
        <v>310</v>
      </c>
      <c r="AE101" t="s">
        <v>376</v>
      </c>
      <c r="AK101" t="s">
        <v>0</v>
      </c>
      <c r="AQ101" t="s">
        <v>464</v>
      </c>
    </row>
    <row r="102" spans="1:43" x14ac:dyDescent="0.4">
      <c r="A102" t="s">
        <v>3</v>
      </c>
      <c r="G102" t="s">
        <v>3</v>
      </c>
      <c r="M102" t="s">
        <v>3</v>
      </c>
      <c r="S102" t="s">
        <v>3</v>
      </c>
      <c r="Y102" t="s">
        <v>3</v>
      </c>
      <c r="AE102" t="s">
        <v>377</v>
      </c>
      <c r="AK102" t="s">
        <v>415</v>
      </c>
      <c r="AQ102" t="s">
        <v>465</v>
      </c>
    </row>
    <row r="103" spans="1:43" x14ac:dyDescent="0.4">
      <c r="A103" t="s">
        <v>101</v>
      </c>
      <c r="G103" t="s">
        <v>31</v>
      </c>
      <c r="M103" t="s">
        <v>169</v>
      </c>
      <c r="S103" t="s">
        <v>235</v>
      </c>
      <c r="Y103" t="s">
        <v>309</v>
      </c>
      <c r="AE103" t="s">
        <v>3</v>
      </c>
      <c r="AK103" t="s">
        <v>416</v>
      </c>
      <c r="AQ103" t="s">
        <v>3</v>
      </c>
    </row>
    <row r="104" spans="1:43" x14ac:dyDescent="0.4">
      <c r="A104" t="s">
        <v>103</v>
      </c>
      <c r="G104" t="s">
        <v>32</v>
      </c>
      <c r="M104" t="s">
        <v>171</v>
      </c>
      <c r="S104" t="s">
        <v>236</v>
      </c>
      <c r="Y104" t="s">
        <v>311</v>
      </c>
      <c r="AE104" t="s">
        <v>378</v>
      </c>
      <c r="AK104" t="s">
        <v>3</v>
      </c>
      <c r="AQ104" t="s">
        <v>464</v>
      </c>
    </row>
    <row r="105" spans="1:43" x14ac:dyDescent="0.4">
      <c r="AE105" t="s">
        <v>379</v>
      </c>
      <c r="AK105" t="s">
        <v>415</v>
      </c>
      <c r="AQ105" t="s">
        <v>466</v>
      </c>
    </row>
    <row r="106" spans="1:43" x14ac:dyDescent="0.4">
      <c r="A106">
        <v>8</v>
      </c>
      <c r="G106">
        <v>8</v>
      </c>
      <c r="M106">
        <v>8</v>
      </c>
      <c r="S106">
        <v>2</v>
      </c>
      <c r="Y106">
        <v>8</v>
      </c>
      <c r="AK106" t="s">
        <v>417</v>
      </c>
    </row>
    <row r="107" spans="1:43" x14ac:dyDescent="0.4">
      <c r="A107" t="s">
        <v>0</v>
      </c>
      <c r="G107" t="s">
        <v>0</v>
      </c>
      <c r="M107" t="s">
        <v>0</v>
      </c>
      <c r="S107" t="s">
        <v>0</v>
      </c>
      <c r="Y107" t="s">
        <v>0</v>
      </c>
      <c r="AE107">
        <v>5</v>
      </c>
      <c r="AQ107">
        <v>0</v>
      </c>
    </row>
    <row r="108" spans="1:43" x14ac:dyDescent="0.4">
      <c r="A108" t="s">
        <v>104</v>
      </c>
      <c r="G108" t="s">
        <v>33</v>
      </c>
      <c r="M108" t="s">
        <v>172</v>
      </c>
      <c r="S108" t="s">
        <v>237</v>
      </c>
      <c r="Y108" t="s">
        <v>312</v>
      </c>
      <c r="AE108" t="s">
        <v>0</v>
      </c>
      <c r="AK108">
        <v>1</v>
      </c>
      <c r="AQ108" t="s">
        <v>0</v>
      </c>
    </row>
    <row r="109" spans="1:43" x14ac:dyDescent="0.4">
      <c r="A109" t="s">
        <v>105</v>
      </c>
      <c r="G109" t="s">
        <v>34</v>
      </c>
      <c r="M109" t="s">
        <v>173</v>
      </c>
      <c r="S109" t="s">
        <v>238</v>
      </c>
      <c r="Y109" t="s">
        <v>313</v>
      </c>
      <c r="AE109" t="s">
        <v>380</v>
      </c>
      <c r="AK109" t="s">
        <v>0</v>
      </c>
      <c r="AQ109" t="s">
        <v>467</v>
      </c>
    </row>
    <row r="110" spans="1:43" x14ac:dyDescent="0.4">
      <c r="A110" t="s">
        <v>3</v>
      </c>
      <c r="G110" t="s">
        <v>3</v>
      </c>
      <c r="M110" t="s">
        <v>3</v>
      </c>
      <c r="S110" t="s">
        <v>3</v>
      </c>
      <c r="Y110" t="s">
        <v>3</v>
      </c>
      <c r="AE110" t="s">
        <v>381</v>
      </c>
      <c r="AK110" t="s">
        <v>418</v>
      </c>
      <c r="AQ110" t="s">
        <v>468</v>
      </c>
    </row>
    <row r="111" spans="1:43" x14ac:dyDescent="0.4">
      <c r="A111" t="s">
        <v>104</v>
      </c>
      <c r="G111" t="s">
        <v>33</v>
      </c>
      <c r="M111" t="s">
        <v>172</v>
      </c>
      <c r="S111" t="s">
        <v>239</v>
      </c>
      <c r="Y111" t="s">
        <v>314</v>
      </c>
      <c r="AE111" t="s">
        <v>3</v>
      </c>
      <c r="AK111" t="s">
        <v>419</v>
      </c>
      <c r="AQ111" t="s">
        <v>3</v>
      </c>
    </row>
    <row r="112" spans="1:43" x14ac:dyDescent="0.4">
      <c r="A112" t="s">
        <v>106</v>
      </c>
      <c r="G112" t="s">
        <v>35</v>
      </c>
      <c r="M112" t="s">
        <v>174</v>
      </c>
      <c r="S112" t="s">
        <v>240</v>
      </c>
      <c r="Y112" t="s">
        <v>315</v>
      </c>
      <c r="AE112" t="s">
        <v>380</v>
      </c>
      <c r="AK112" t="s">
        <v>3</v>
      </c>
      <c r="AQ112" t="s">
        <v>467</v>
      </c>
    </row>
    <row r="113" spans="1:43" x14ac:dyDescent="0.4">
      <c r="AE113" t="s">
        <v>382</v>
      </c>
      <c r="AK113" t="s">
        <v>418</v>
      </c>
      <c r="AQ113" t="s">
        <v>469</v>
      </c>
    </row>
    <row r="114" spans="1:43" x14ac:dyDescent="0.4">
      <c r="A114">
        <v>9</v>
      </c>
      <c r="G114">
        <v>9</v>
      </c>
      <c r="M114">
        <v>9</v>
      </c>
      <c r="S114">
        <v>3</v>
      </c>
      <c r="Y114">
        <v>9</v>
      </c>
      <c r="AK114" t="s">
        <v>420</v>
      </c>
    </row>
    <row r="115" spans="1:43" x14ac:dyDescent="0.4">
      <c r="A115" t="s">
        <v>0</v>
      </c>
      <c r="G115" t="s">
        <v>0</v>
      </c>
      <c r="M115" t="s">
        <v>0</v>
      </c>
      <c r="S115" t="s">
        <v>0</v>
      </c>
      <c r="Y115" t="s">
        <v>0</v>
      </c>
      <c r="AE115">
        <v>3</v>
      </c>
      <c r="AQ115">
        <v>8</v>
      </c>
    </row>
    <row r="116" spans="1:43" x14ac:dyDescent="0.4">
      <c r="A116" t="s">
        <v>107</v>
      </c>
      <c r="G116" t="s">
        <v>36</v>
      </c>
      <c r="M116" t="s">
        <v>175</v>
      </c>
      <c r="S116" t="s">
        <v>241</v>
      </c>
      <c r="Y116" t="s">
        <v>316</v>
      </c>
      <c r="AE116" t="s">
        <v>0</v>
      </c>
      <c r="AK116">
        <v>2</v>
      </c>
      <c r="AQ116" t="s">
        <v>0</v>
      </c>
    </row>
    <row r="117" spans="1:43" x14ac:dyDescent="0.4">
      <c r="A117" t="s">
        <v>108</v>
      </c>
      <c r="G117" t="s">
        <v>37</v>
      </c>
      <c r="M117" t="s">
        <v>176</v>
      </c>
      <c r="S117" t="s">
        <v>242</v>
      </c>
      <c r="Y117" t="s">
        <v>317</v>
      </c>
      <c r="AE117" t="s">
        <v>383</v>
      </c>
      <c r="AK117" t="s">
        <v>0</v>
      </c>
      <c r="AQ117" t="s">
        <v>470</v>
      </c>
    </row>
    <row r="118" spans="1:43" x14ac:dyDescent="0.4">
      <c r="A118" t="s">
        <v>3</v>
      </c>
      <c r="G118" t="s">
        <v>3</v>
      </c>
      <c r="M118" t="s">
        <v>3</v>
      </c>
      <c r="S118" t="s">
        <v>3</v>
      </c>
      <c r="Y118" t="s">
        <v>3</v>
      </c>
      <c r="AE118" t="s">
        <v>384</v>
      </c>
      <c r="AK118" t="s">
        <v>421</v>
      </c>
      <c r="AQ118" t="s">
        <v>471</v>
      </c>
    </row>
    <row r="119" spans="1:43" x14ac:dyDescent="0.4">
      <c r="A119" t="s">
        <v>107</v>
      </c>
      <c r="G119" t="s">
        <v>38</v>
      </c>
      <c r="M119" t="s">
        <v>177</v>
      </c>
      <c r="S119" t="s">
        <v>241</v>
      </c>
      <c r="Y119" t="s">
        <v>318</v>
      </c>
      <c r="AE119" t="s">
        <v>3</v>
      </c>
      <c r="AK119" t="s">
        <v>422</v>
      </c>
      <c r="AQ119" t="s">
        <v>3</v>
      </c>
    </row>
    <row r="120" spans="1:43" x14ac:dyDescent="0.4">
      <c r="A120" t="s">
        <v>109</v>
      </c>
      <c r="G120" t="s">
        <v>39</v>
      </c>
      <c r="M120" t="s">
        <v>178</v>
      </c>
      <c r="S120" t="s">
        <v>243</v>
      </c>
      <c r="Y120" t="s">
        <v>319</v>
      </c>
      <c r="AE120" t="s">
        <v>383</v>
      </c>
      <c r="AK120" t="s">
        <v>3</v>
      </c>
      <c r="AQ120" t="s">
        <v>472</v>
      </c>
    </row>
    <row r="121" spans="1:43" x14ac:dyDescent="0.4">
      <c r="AE121" t="s">
        <v>385</v>
      </c>
      <c r="AK121" t="s">
        <v>423</v>
      </c>
      <c r="AQ121" t="s">
        <v>473</v>
      </c>
    </row>
    <row r="122" spans="1:43" x14ac:dyDescent="0.4">
      <c r="A122">
        <v>10</v>
      </c>
      <c r="G122">
        <v>10</v>
      </c>
      <c r="M122">
        <v>10</v>
      </c>
      <c r="S122">
        <v>4</v>
      </c>
      <c r="Y122">
        <v>10</v>
      </c>
      <c r="AK122" t="s">
        <v>424</v>
      </c>
    </row>
    <row r="123" spans="1:43" x14ac:dyDescent="0.4">
      <c r="A123" t="s">
        <v>0</v>
      </c>
      <c r="G123" t="s">
        <v>0</v>
      </c>
      <c r="M123" t="s">
        <v>0</v>
      </c>
      <c r="S123" t="s">
        <v>0</v>
      </c>
      <c r="Y123" t="s">
        <v>0</v>
      </c>
      <c r="AE123">
        <v>6</v>
      </c>
      <c r="AQ123">
        <v>1</v>
      </c>
    </row>
    <row r="124" spans="1:43" x14ac:dyDescent="0.4">
      <c r="A124" t="s">
        <v>110</v>
      </c>
      <c r="G124" t="s">
        <v>40</v>
      </c>
      <c r="M124" t="s">
        <v>179</v>
      </c>
      <c r="S124" t="s">
        <v>244</v>
      </c>
      <c r="Y124" t="s">
        <v>320</v>
      </c>
      <c r="AE124" t="s">
        <v>0</v>
      </c>
      <c r="AK124">
        <v>3</v>
      </c>
      <c r="AQ124" t="s">
        <v>0</v>
      </c>
    </row>
    <row r="125" spans="1:43" x14ac:dyDescent="0.4">
      <c r="A125" t="s">
        <v>111</v>
      </c>
      <c r="G125" t="s">
        <v>41</v>
      </c>
      <c r="M125" t="s">
        <v>180</v>
      </c>
      <c r="S125" t="s">
        <v>245</v>
      </c>
      <c r="Y125" t="s">
        <v>321</v>
      </c>
      <c r="AE125" t="s">
        <v>386</v>
      </c>
      <c r="AK125" t="s">
        <v>0</v>
      </c>
      <c r="AQ125" t="s">
        <v>474</v>
      </c>
    </row>
    <row r="126" spans="1:43" x14ac:dyDescent="0.4">
      <c r="A126" t="s">
        <v>3</v>
      </c>
      <c r="G126" t="s">
        <v>3</v>
      </c>
      <c r="M126" t="s">
        <v>3</v>
      </c>
      <c r="S126" t="s">
        <v>3</v>
      </c>
      <c r="Y126" t="s">
        <v>3</v>
      </c>
      <c r="AE126" t="s">
        <v>387</v>
      </c>
      <c r="AK126" t="s">
        <v>425</v>
      </c>
      <c r="AQ126" t="s">
        <v>475</v>
      </c>
    </row>
    <row r="127" spans="1:43" x14ac:dyDescent="0.4">
      <c r="A127" t="s">
        <v>112</v>
      </c>
      <c r="G127" t="s">
        <v>42</v>
      </c>
      <c r="M127" t="s">
        <v>179</v>
      </c>
      <c r="S127" t="s">
        <v>244</v>
      </c>
      <c r="Y127" t="s">
        <v>320</v>
      </c>
      <c r="AE127" t="s">
        <v>3</v>
      </c>
      <c r="AK127" t="s">
        <v>426</v>
      </c>
      <c r="AQ127" t="s">
        <v>3</v>
      </c>
    </row>
    <row r="128" spans="1:43" x14ac:dyDescent="0.4">
      <c r="A128" t="s">
        <v>113</v>
      </c>
      <c r="G128" t="s">
        <v>43</v>
      </c>
      <c r="M128" t="s">
        <v>181</v>
      </c>
      <c r="S128" t="s">
        <v>246</v>
      </c>
      <c r="Y128" t="s">
        <v>322</v>
      </c>
      <c r="AE128" t="s">
        <v>388</v>
      </c>
      <c r="AK128" t="s">
        <v>3</v>
      </c>
      <c r="AQ128" t="s">
        <v>476</v>
      </c>
    </row>
    <row r="129" spans="1:43" x14ac:dyDescent="0.4">
      <c r="AE129" t="s">
        <v>389</v>
      </c>
      <c r="AK129" t="s">
        <v>427</v>
      </c>
      <c r="AQ129" t="s">
        <v>477</v>
      </c>
    </row>
    <row r="130" spans="1:43" x14ac:dyDescent="0.4">
      <c r="A130">
        <v>11</v>
      </c>
      <c r="G130">
        <v>11</v>
      </c>
      <c r="M130">
        <v>11</v>
      </c>
      <c r="S130">
        <v>5</v>
      </c>
      <c r="Y130">
        <v>11</v>
      </c>
      <c r="AK130" t="s">
        <v>428</v>
      </c>
    </row>
    <row r="131" spans="1:43" x14ac:dyDescent="0.4">
      <c r="A131" t="s">
        <v>0</v>
      </c>
      <c r="G131" t="s">
        <v>0</v>
      </c>
      <c r="M131" t="s">
        <v>0</v>
      </c>
      <c r="S131" t="s">
        <v>0</v>
      </c>
      <c r="Y131" t="s">
        <v>0</v>
      </c>
      <c r="AQ131">
        <v>9</v>
      </c>
    </row>
    <row r="132" spans="1:43" x14ac:dyDescent="0.4">
      <c r="A132" t="s">
        <v>114</v>
      </c>
      <c r="G132" t="s">
        <v>44</v>
      </c>
      <c r="M132" t="s">
        <v>182</v>
      </c>
      <c r="S132" t="s">
        <v>247</v>
      </c>
      <c r="Y132" t="s">
        <v>323</v>
      </c>
      <c r="AK132">
        <v>4</v>
      </c>
      <c r="AQ132" t="s">
        <v>0</v>
      </c>
    </row>
    <row r="133" spans="1:43" x14ac:dyDescent="0.4">
      <c r="A133" t="s">
        <v>115</v>
      </c>
      <c r="G133" t="s">
        <v>45</v>
      </c>
      <c r="M133" t="s">
        <v>183</v>
      </c>
      <c r="S133" t="s">
        <v>248</v>
      </c>
      <c r="Y133" t="s">
        <v>324</v>
      </c>
      <c r="AK133" t="s">
        <v>0</v>
      </c>
      <c r="AQ133" t="s">
        <v>478</v>
      </c>
    </row>
    <row r="134" spans="1:43" x14ac:dyDescent="0.4">
      <c r="A134" t="s">
        <v>3</v>
      </c>
      <c r="G134" t="s">
        <v>3</v>
      </c>
      <c r="M134" t="s">
        <v>3</v>
      </c>
      <c r="S134" t="s">
        <v>3</v>
      </c>
      <c r="Y134" t="s">
        <v>3</v>
      </c>
      <c r="AK134" t="s">
        <v>429</v>
      </c>
      <c r="AQ134" t="s">
        <v>479</v>
      </c>
    </row>
    <row r="135" spans="1:43" x14ac:dyDescent="0.4">
      <c r="A135" t="s">
        <v>114</v>
      </c>
      <c r="G135" t="s">
        <v>44</v>
      </c>
      <c r="M135" t="s">
        <v>182</v>
      </c>
      <c r="S135" t="s">
        <v>247</v>
      </c>
      <c r="Y135" t="s">
        <v>325</v>
      </c>
      <c r="AK135" t="s">
        <v>430</v>
      </c>
      <c r="AQ135" t="s">
        <v>3</v>
      </c>
    </row>
    <row r="136" spans="1:43" x14ac:dyDescent="0.4">
      <c r="A136" t="s">
        <v>116</v>
      </c>
      <c r="G136" t="s">
        <v>46</v>
      </c>
      <c r="M136" t="s">
        <v>184</v>
      </c>
      <c r="S136" t="s">
        <v>249</v>
      </c>
      <c r="Y136" t="s">
        <v>326</v>
      </c>
      <c r="AK136" t="s">
        <v>3</v>
      </c>
      <c r="AQ136" t="s">
        <v>478</v>
      </c>
    </row>
    <row r="137" spans="1:43" x14ac:dyDescent="0.4">
      <c r="AK137" t="s">
        <v>431</v>
      </c>
      <c r="AQ137" t="s">
        <v>480</v>
      </c>
    </row>
    <row r="138" spans="1:43" x14ac:dyDescent="0.4">
      <c r="A138">
        <v>12</v>
      </c>
      <c r="G138">
        <v>12</v>
      </c>
      <c r="M138">
        <v>12</v>
      </c>
      <c r="S138">
        <v>6</v>
      </c>
      <c r="Y138">
        <v>12</v>
      </c>
      <c r="AK138" t="s">
        <v>432</v>
      </c>
    </row>
    <row r="139" spans="1:43" x14ac:dyDescent="0.4">
      <c r="A139" t="s">
        <v>0</v>
      </c>
      <c r="G139" t="s">
        <v>0</v>
      </c>
      <c r="M139" t="s">
        <v>0</v>
      </c>
      <c r="S139" t="s">
        <v>0</v>
      </c>
      <c r="Y139" t="s">
        <v>0</v>
      </c>
      <c r="AQ139" t="s">
        <v>481</v>
      </c>
    </row>
    <row r="140" spans="1:43" x14ac:dyDescent="0.4">
      <c r="A140" t="s">
        <v>117</v>
      </c>
      <c r="G140" t="s">
        <v>47</v>
      </c>
      <c r="M140" t="s">
        <v>185</v>
      </c>
      <c r="S140" t="s">
        <v>250</v>
      </c>
      <c r="Y140" t="s">
        <v>327</v>
      </c>
      <c r="AK140">
        <v>5</v>
      </c>
    </row>
    <row r="141" spans="1:43" x14ac:dyDescent="0.4">
      <c r="A141" t="s">
        <v>118</v>
      </c>
      <c r="G141" t="s">
        <v>48</v>
      </c>
      <c r="M141" t="s">
        <v>186</v>
      </c>
      <c r="S141" t="s">
        <v>251</v>
      </c>
      <c r="Y141" t="s">
        <v>328</v>
      </c>
      <c r="AK141" t="s">
        <v>0</v>
      </c>
      <c r="AQ141">
        <v>2</v>
      </c>
    </row>
    <row r="142" spans="1:43" x14ac:dyDescent="0.4">
      <c r="A142" t="s">
        <v>3</v>
      </c>
      <c r="G142" t="s">
        <v>3</v>
      </c>
      <c r="M142" t="s">
        <v>3</v>
      </c>
      <c r="S142" t="s">
        <v>3</v>
      </c>
      <c r="Y142" t="s">
        <v>3</v>
      </c>
      <c r="AK142" t="s">
        <v>433</v>
      </c>
      <c r="AQ142" t="s">
        <v>0</v>
      </c>
    </row>
    <row r="143" spans="1:43" x14ac:dyDescent="0.4">
      <c r="A143" t="s">
        <v>117</v>
      </c>
      <c r="G143" t="s">
        <v>49</v>
      </c>
      <c r="M143" t="s">
        <v>187</v>
      </c>
      <c r="S143" t="s">
        <v>252</v>
      </c>
      <c r="Y143" t="s">
        <v>327</v>
      </c>
      <c r="AK143" t="s">
        <v>434</v>
      </c>
      <c r="AQ143" t="s">
        <v>482</v>
      </c>
    </row>
    <row r="144" spans="1:43" x14ac:dyDescent="0.4">
      <c r="A144" t="s">
        <v>119</v>
      </c>
      <c r="G144" t="s">
        <v>50</v>
      </c>
      <c r="M144" t="s">
        <v>188</v>
      </c>
      <c r="S144" t="s">
        <v>253</v>
      </c>
      <c r="Y144" t="s">
        <v>329</v>
      </c>
      <c r="AK144" t="s">
        <v>3</v>
      </c>
      <c r="AQ144" t="s">
        <v>483</v>
      </c>
    </row>
    <row r="145" spans="1:43" x14ac:dyDescent="0.4">
      <c r="AK145" t="s">
        <v>433</v>
      </c>
      <c r="AQ145" t="s">
        <v>3</v>
      </c>
    </row>
    <row r="146" spans="1:43" x14ac:dyDescent="0.4">
      <c r="A146">
        <v>13</v>
      </c>
      <c r="G146">
        <v>13</v>
      </c>
      <c r="M146">
        <v>13</v>
      </c>
      <c r="S146">
        <v>7</v>
      </c>
      <c r="Y146">
        <v>13</v>
      </c>
      <c r="AK146" t="s">
        <v>435</v>
      </c>
      <c r="AQ146" t="s">
        <v>482</v>
      </c>
    </row>
    <row r="147" spans="1:43" x14ac:dyDescent="0.4">
      <c r="A147" t="s">
        <v>0</v>
      </c>
      <c r="G147" t="s">
        <v>0</v>
      </c>
      <c r="M147" t="s">
        <v>0</v>
      </c>
      <c r="S147" t="s">
        <v>0</v>
      </c>
      <c r="Y147" t="s">
        <v>0</v>
      </c>
      <c r="AQ147" t="s">
        <v>484</v>
      </c>
    </row>
    <row r="148" spans="1:43" x14ac:dyDescent="0.4">
      <c r="A148" t="s">
        <v>120</v>
      </c>
      <c r="G148" t="s">
        <v>51</v>
      </c>
      <c r="M148" t="s">
        <v>189</v>
      </c>
      <c r="S148" t="s">
        <v>254</v>
      </c>
      <c r="Y148" t="s">
        <v>330</v>
      </c>
    </row>
    <row r="149" spans="1:43" x14ac:dyDescent="0.4">
      <c r="A149" t="s">
        <v>121</v>
      </c>
      <c r="G149" t="s">
        <v>52</v>
      </c>
      <c r="M149" t="s">
        <v>190</v>
      </c>
      <c r="S149" t="s">
        <v>255</v>
      </c>
      <c r="Y149" t="s">
        <v>331</v>
      </c>
      <c r="AQ149">
        <v>3</v>
      </c>
    </row>
    <row r="150" spans="1:43" x14ac:dyDescent="0.4">
      <c r="A150" t="s">
        <v>3</v>
      </c>
      <c r="G150" t="s">
        <v>3</v>
      </c>
      <c r="M150" t="s">
        <v>3</v>
      </c>
      <c r="S150" t="s">
        <v>3</v>
      </c>
      <c r="Y150" t="s">
        <v>3</v>
      </c>
      <c r="AQ150" t="s">
        <v>0</v>
      </c>
    </row>
    <row r="151" spans="1:43" x14ac:dyDescent="0.4">
      <c r="A151" t="s">
        <v>120</v>
      </c>
      <c r="G151" t="s">
        <v>53</v>
      </c>
      <c r="M151" t="s">
        <v>189</v>
      </c>
      <c r="S151" t="s">
        <v>256</v>
      </c>
      <c r="Y151" t="s">
        <v>332</v>
      </c>
      <c r="AQ151" t="s">
        <v>485</v>
      </c>
    </row>
    <row r="152" spans="1:43" x14ac:dyDescent="0.4">
      <c r="A152" t="s">
        <v>122</v>
      </c>
      <c r="G152" t="s">
        <v>54</v>
      </c>
      <c r="M152" t="s">
        <v>191</v>
      </c>
      <c r="S152" t="s">
        <v>257</v>
      </c>
      <c r="Y152" t="s">
        <v>333</v>
      </c>
      <c r="AQ152" t="s">
        <v>486</v>
      </c>
    </row>
    <row r="153" spans="1:43" x14ac:dyDescent="0.4">
      <c r="AQ153" t="s">
        <v>3</v>
      </c>
    </row>
    <row r="154" spans="1:43" x14ac:dyDescent="0.4">
      <c r="A154">
        <v>14</v>
      </c>
      <c r="G154">
        <v>14</v>
      </c>
      <c r="M154">
        <v>14</v>
      </c>
      <c r="S154">
        <v>8</v>
      </c>
      <c r="Y154">
        <v>14</v>
      </c>
      <c r="AQ154" t="s">
        <v>487</v>
      </c>
    </row>
    <row r="155" spans="1:43" x14ac:dyDescent="0.4">
      <c r="A155" t="s">
        <v>0</v>
      </c>
      <c r="G155" t="s">
        <v>0</v>
      </c>
      <c r="M155" t="s">
        <v>0</v>
      </c>
      <c r="S155" t="s">
        <v>0</v>
      </c>
      <c r="Y155" t="s">
        <v>0</v>
      </c>
      <c r="AQ155" t="s">
        <v>488</v>
      </c>
    </row>
    <row r="156" spans="1:43" x14ac:dyDescent="0.4">
      <c r="A156" t="s">
        <v>123</v>
      </c>
      <c r="G156" t="s">
        <v>55</v>
      </c>
      <c r="M156" t="s">
        <v>192</v>
      </c>
      <c r="S156" t="s">
        <v>258</v>
      </c>
      <c r="Y156" t="s">
        <v>334</v>
      </c>
    </row>
    <row r="157" spans="1:43" x14ac:dyDescent="0.4">
      <c r="A157" t="s">
        <v>124</v>
      </c>
      <c r="G157" t="s">
        <v>56</v>
      </c>
      <c r="M157" t="s">
        <v>193</v>
      </c>
      <c r="S157" t="s">
        <v>259</v>
      </c>
      <c r="Y157" t="s">
        <v>335</v>
      </c>
      <c r="AQ157">
        <v>4</v>
      </c>
    </row>
    <row r="158" spans="1:43" x14ac:dyDescent="0.4">
      <c r="A158" t="s">
        <v>3</v>
      </c>
      <c r="G158" t="s">
        <v>3</v>
      </c>
      <c r="M158" t="s">
        <v>3</v>
      </c>
      <c r="S158" t="s">
        <v>3</v>
      </c>
      <c r="Y158" t="s">
        <v>3</v>
      </c>
      <c r="AQ158" t="s">
        <v>0</v>
      </c>
    </row>
    <row r="159" spans="1:43" x14ac:dyDescent="0.4">
      <c r="A159" t="s">
        <v>123</v>
      </c>
      <c r="G159" t="s">
        <v>55</v>
      </c>
      <c r="M159" t="s">
        <v>192</v>
      </c>
      <c r="S159" t="s">
        <v>260</v>
      </c>
      <c r="Y159" t="s">
        <v>336</v>
      </c>
      <c r="AQ159" t="s">
        <v>489</v>
      </c>
    </row>
    <row r="160" spans="1:43" x14ac:dyDescent="0.4">
      <c r="A160" t="s">
        <v>125</v>
      </c>
      <c r="G160" t="s">
        <v>57</v>
      </c>
      <c r="M160" t="s">
        <v>194</v>
      </c>
      <c r="S160" t="s">
        <v>261</v>
      </c>
      <c r="Y160" t="s">
        <v>337</v>
      </c>
      <c r="AQ160" t="s">
        <v>490</v>
      </c>
    </row>
    <row r="161" spans="1:43" x14ac:dyDescent="0.4">
      <c r="AQ161" t="s">
        <v>3</v>
      </c>
    </row>
    <row r="162" spans="1:43" x14ac:dyDescent="0.4">
      <c r="A162">
        <v>15</v>
      </c>
      <c r="G162">
        <v>15</v>
      </c>
      <c r="M162">
        <v>15</v>
      </c>
      <c r="S162">
        <v>9</v>
      </c>
      <c r="Y162">
        <v>15</v>
      </c>
      <c r="AQ162" t="s">
        <v>491</v>
      </c>
    </row>
    <row r="163" spans="1:43" x14ac:dyDescent="0.4">
      <c r="A163" t="s">
        <v>0</v>
      </c>
      <c r="G163" t="s">
        <v>0</v>
      </c>
      <c r="M163" t="s">
        <v>0</v>
      </c>
      <c r="S163" t="s">
        <v>0</v>
      </c>
      <c r="Y163" t="s">
        <v>0</v>
      </c>
      <c r="AQ163" t="s">
        <v>492</v>
      </c>
    </row>
    <row r="164" spans="1:43" x14ac:dyDescent="0.4">
      <c r="A164" t="s">
        <v>126</v>
      </c>
      <c r="G164" t="s">
        <v>58</v>
      </c>
      <c r="M164" t="s">
        <v>195</v>
      </c>
      <c r="S164" t="s">
        <v>262</v>
      </c>
      <c r="Y164" t="s">
        <v>338</v>
      </c>
    </row>
    <row r="165" spans="1:43" x14ac:dyDescent="0.4">
      <c r="A165" t="s">
        <v>127</v>
      </c>
      <c r="G165" t="s">
        <v>59</v>
      </c>
      <c r="M165" t="s">
        <v>196</v>
      </c>
      <c r="S165" t="s">
        <v>263</v>
      </c>
      <c r="Y165" t="s">
        <v>339</v>
      </c>
      <c r="AQ165">
        <v>5</v>
      </c>
    </row>
    <row r="166" spans="1:43" x14ac:dyDescent="0.4">
      <c r="A166" t="s">
        <v>3</v>
      </c>
      <c r="G166" t="s">
        <v>3</v>
      </c>
      <c r="M166" t="s">
        <v>3</v>
      </c>
      <c r="S166" t="s">
        <v>3</v>
      </c>
      <c r="Y166" t="s">
        <v>3</v>
      </c>
      <c r="AQ166" t="s">
        <v>0</v>
      </c>
    </row>
    <row r="167" spans="1:43" x14ac:dyDescent="0.4">
      <c r="A167" t="s">
        <v>128</v>
      </c>
      <c r="G167" t="s">
        <v>58</v>
      </c>
      <c r="M167" t="s">
        <v>195</v>
      </c>
      <c r="S167" t="s">
        <v>264</v>
      </c>
      <c r="Y167" t="s">
        <v>340</v>
      </c>
      <c r="AQ167" t="s">
        <v>493</v>
      </c>
    </row>
    <row r="168" spans="1:43" x14ac:dyDescent="0.4">
      <c r="A168" t="s">
        <v>129</v>
      </c>
      <c r="G168" t="s">
        <v>60</v>
      </c>
      <c r="M168" t="s">
        <v>197</v>
      </c>
      <c r="S168" t="s">
        <v>265</v>
      </c>
      <c r="Y168" t="s">
        <v>341</v>
      </c>
      <c r="AQ168" t="s">
        <v>494</v>
      </c>
    </row>
    <row r="169" spans="1:43" x14ac:dyDescent="0.4">
      <c r="AQ169" t="s">
        <v>3</v>
      </c>
    </row>
    <row r="170" spans="1:43" x14ac:dyDescent="0.4">
      <c r="A170">
        <v>16</v>
      </c>
      <c r="G170">
        <v>16</v>
      </c>
      <c r="M170">
        <v>16</v>
      </c>
      <c r="S170">
        <v>10</v>
      </c>
      <c r="Y170">
        <v>16</v>
      </c>
      <c r="AQ170" t="s">
        <v>493</v>
      </c>
    </row>
    <row r="171" spans="1:43" x14ac:dyDescent="0.4">
      <c r="A171" t="s">
        <v>0</v>
      </c>
      <c r="G171" t="s">
        <v>0</v>
      </c>
      <c r="M171" t="s">
        <v>0</v>
      </c>
      <c r="S171" t="s">
        <v>0</v>
      </c>
      <c r="Y171" t="s">
        <v>0</v>
      </c>
      <c r="AQ171" t="s">
        <v>495</v>
      </c>
    </row>
    <row r="172" spans="1:43" x14ac:dyDescent="0.4">
      <c r="A172" t="s">
        <v>130</v>
      </c>
      <c r="G172" t="s">
        <v>61</v>
      </c>
      <c r="M172" t="s">
        <v>198</v>
      </c>
      <c r="S172" t="s">
        <v>266</v>
      </c>
      <c r="Y172" t="s">
        <v>342</v>
      </c>
    </row>
    <row r="173" spans="1:43" x14ac:dyDescent="0.4">
      <c r="A173" t="s">
        <v>131</v>
      </c>
      <c r="G173" t="s">
        <v>62</v>
      </c>
      <c r="M173" t="s">
        <v>199</v>
      </c>
      <c r="S173" t="s">
        <v>267</v>
      </c>
      <c r="Y173" t="s">
        <v>343</v>
      </c>
      <c r="AQ173">
        <v>6</v>
      </c>
    </row>
    <row r="174" spans="1:43" x14ac:dyDescent="0.4">
      <c r="A174" t="s">
        <v>3</v>
      </c>
      <c r="G174" t="s">
        <v>3</v>
      </c>
      <c r="M174" t="s">
        <v>3</v>
      </c>
      <c r="S174" t="s">
        <v>3</v>
      </c>
      <c r="Y174" t="s">
        <v>3</v>
      </c>
      <c r="AQ174" t="s">
        <v>0</v>
      </c>
    </row>
    <row r="175" spans="1:43" x14ac:dyDescent="0.4">
      <c r="A175" t="s">
        <v>130</v>
      </c>
      <c r="G175" t="s">
        <v>63</v>
      </c>
      <c r="M175" t="s">
        <v>198</v>
      </c>
      <c r="S175" t="s">
        <v>268</v>
      </c>
      <c r="Y175" t="s">
        <v>342</v>
      </c>
      <c r="AQ175" t="s">
        <v>496</v>
      </c>
    </row>
    <row r="176" spans="1:43" x14ac:dyDescent="0.4">
      <c r="A176" t="s">
        <v>132</v>
      </c>
      <c r="G176" t="s">
        <v>64</v>
      </c>
      <c r="M176" t="s">
        <v>200</v>
      </c>
      <c r="S176" t="s">
        <v>269</v>
      </c>
      <c r="Y176" t="s">
        <v>344</v>
      </c>
      <c r="AQ176" t="s">
        <v>497</v>
      </c>
    </row>
    <row r="177" spans="1:43" x14ac:dyDescent="0.4">
      <c r="AQ177" t="s">
        <v>3</v>
      </c>
    </row>
    <row r="178" spans="1:43" x14ac:dyDescent="0.4">
      <c r="A178">
        <v>17</v>
      </c>
      <c r="G178">
        <v>17</v>
      </c>
      <c r="M178">
        <v>17</v>
      </c>
      <c r="S178">
        <v>0</v>
      </c>
      <c r="Y178">
        <v>17</v>
      </c>
      <c r="AQ178" t="s">
        <v>498</v>
      </c>
    </row>
    <row r="179" spans="1:43" x14ac:dyDescent="0.4">
      <c r="A179" t="s">
        <v>0</v>
      </c>
      <c r="G179" t="s">
        <v>0</v>
      </c>
      <c r="M179" t="s">
        <v>0</v>
      </c>
      <c r="S179" t="s">
        <v>0</v>
      </c>
      <c r="Y179" t="s">
        <v>0</v>
      </c>
      <c r="AQ179" t="s">
        <v>499</v>
      </c>
    </row>
    <row r="180" spans="1:43" x14ac:dyDescent="0.4">
      <c r="A180" t="s">
        <v>133</v>
      </c>
      <c r="G180" t="s">
        <v>65</v>
      </c>
      <c r="M180" t="s">
        <v>201</v>
      </c>
      <c r="S180" t="s">
        <v>270</v>
      </c>
      <c r="Y180" t="s">
        <v>345</v>
      </c>
    </row>
    <row r="181" spans="1:43" x14ac:dyDescent="0.4">
      <c r="A181" t="s">
        <v>134</v>
      </c>
      <c r="G181" t="s">
        <v>66</v>
      </c>
      <c r="M181" t="s">
        <v>202</v>
      </c>
      <c r="S181" t="s">
        <v>271</v>
      </c>
      <c r="Y181" t="s">
        <v>346</v>
      </c>
      <c r="AQ181">
        <v>7</v>
      </c>
    </row>
    <row r="182" spans="1:43" x14ac:dyDescent="0.4">
      <c r="A182" t="s">
        <v>3</v>
      </c>
      <c r="G182" t="s">
        <v>3</v>
      </c>
      <c r="M182" t="s">
        <v>3</v>
      </c>
      <c r="S182" t="s">
        <v>3</v>
      </c>
      <c r="Y182" t="s">
        <v>3</v>
      </c>
      <c r="AQ182" t="s">
        <v>0</v>
      </c>
    </row>
    <row r="183" spans="1:43" x14ac:dyDescent="0.4">
      <c r="A183" t="s">
        <v>135</v>
      </c>
      <c r="G183" t="s">
        <v>65</v>
      </c>
      <c r="M183" t="s">
        <v>201</v>
      </c>
      <c r="S183" t="s">
        <v>272</v>
      </c>
      <c r="Y183" t="s">
        <v>347</v>
      </c>
      <c r="AQ183" t="s">
        <v>500</v>
      </c>
    </row>
    <row r="184" spans="1:43" x14ac:dyDescent="0.4">
      <c r="A184" t="s">
        <v>136</v>
      </c>
      <c r="G184" t="s">
        <v>67</v>
      </c>
      <c r="M184" t="s">
        <v>203</v>
      </c>
      <c r="S184" t="s">
        <v>273</v>
      </c>
      <c r="Y184" t="s">
        <v>348</v>
      </c>
      <c r="AQ184" t="s">
        <v>501</v>
      </c>
    </row>
    <row r="185" spans="1:43" x14ac:dyDescent="0.4">
      <c r="AQ185" t="s">
        <v>3</v>
      </c>
    </row>
    <row r="186" spans="1:43" x14ac:dyDescent="0.4">
      <c r="A186">
        <v>18</v>
      </c>
      <c r="G186">
        <v>18</v>
      </c>
      <c r="M186">
        <v>18</v>
      </c>
      <c r="S186">
        <v>1</v>
      </c>
      <c r="AQ186" t="s">
        <v>502</v>
      </c>
    </row>
    <row r="187" spans="1:43" x14ac:dyDescent="0.4">
      <c r="A187" t="s">
        <v>0</v>
      </c>
      <c r="G187" t="s">
        <v>0</v>
      </c>
      <c r="M187" t="s">
        <v>0</v>
      </c>
      <c r="S187" t="s">
        <v>0</v>
      </c>
      <c r="AQ187" t="s">
        <v>503</v>
      </c>
    </row>
    <row r="188" spans="1:43" x14ac:dyDescent="0.4">
      <c r="A188" t="s">
        <v>137</v>
      </c>
      <c r="G188" t="s">
        <v>68</v>
      </c>
      <c r="M188" t="s">
        <v>204</v>
      </c>
      <c r="S188" t="s">
        <v>274</v>
      </c>
    </row>
    <row r="189" spans="1:43" x14ac:dyDescent="0.4">
      <c r="A189" t="s">
        <v>138</v>
      </c>
      <c r="G189" t="s">
        <v>69</v>
      </c>
      <c r="M189" t="s">
        <v>205</v>
      </c>
      <c r="S189" t="s">
        <v>275</v>
      </c>
      <c r="AQ189">
        <v>8</v>
      </c>
    </row>
    <row r="190" spans="1:43" x14ac:dyDescent="0.4">
      <c r="A190" t="s">
        <v>3</v>
      </c>
      <c r="G190" t="s">
        <v>3</v>
      </c>
      <c r="M190" t="s">
        <v>3</v>
      </c>
      <c r="S190" t="s">
        <v>3</v>
      </c>
      <c r="AQ190" t="s">
        <v>0</v>
      </c>
    </row>
    <row r="191" spans="1:43" x14ac:dyDescent="0.4">
      <c r="A191" t="s">
        <v>139</v>
      </c>
      <c r="G191" t="s">
        <v>68</v>
      </c>
      <c r="M191" t="s">
        <v>204</v>
      </c>
      <c r="S191" t="s">
        <v>274</v>
      </c>
      <c r="AQ191" t="s">
        <v>504</v>
      </c>
    </row>
    <row r="192" spans="1:43" x14ac:dyDescent="0.4">
      <c r="A192" t="s">
        <v>140</v>
      </c>
      <c r="G192" t="s">
        <v>70</v>
      </c>
      <c r="M192" t="s">
        <v>206</v>
      </c>
      <c r="S192" t="s">
        <v>276</v>
      </c>
      <c r="AQ192" t="s">
        <v>505</v>
      </c>
    </row>
    <row r="193" spans="1:43" x14ac:dyDescent="0.4">
      <c r="AQ193" t="s">
        <v>3</v>
      </c>
    </row>
    <row r="194" spans="1:43" x14ac:dyDescent="0.4">
      <c r="A194">
        <v>19</v>
      </c>
      <c r="G194">
        <v>19</v>
      </c>
      <c r="M194">
        <v>19</v>
      </c>
      <c r="S194">
        <v>2</v>
      </c>
      <c r="AQ194" t="s">
        <v>504</v>
      </c>
    </row>
    <row r="195" spans="1:43" x14ac:dyDescent="0.4">
      <c r="A195" t="s">
        <v>0</v>
      </c>
      <c r="G195" t="s">
        <v>0</v>
      </c>
      <c r="M195" t="s">
        <v>0</v>
      </c>
      <c r="S195" t="s">
        <v>0</v>
      </c>
      <c r="AQ195" t="s">
        <v>506</v>
      </c>
    </row>
    <row r="196" spans="1:43" x14ac:dyDescent="0.4">
      <c r="A196" t="s">
        <v>141</v>
      </c>
      <c r="G196" t="s">
        <v>71</v>
      </c>
      <c r="M196" t="s">
        <v>207</v>
      </c>
      <c r="S196" t="s">
        <v>277</v>
      </c>
    </row>
    <row r="197" spans="1:43" x14ac:dyDescent="0.4">
      <c r="A197" t="s">
        <v>142</v>
      </c>
      <c r="G197" t="s">
        <v>72</v>
      </c>
      <c r="M197" t="s">
        <v>208</v>
      </c>
      <c r="S197" t="s">
        <v>278</v>
      </c>
      <c r="AQ197">
        <v>9</v>
      </c>
    </row>
    <row r="198" spans="1:43" x14ac:dyDescent="0.4">
      <c r="A198" t="s">
        <v>3</v>
      </c>
      <c r="G198" t="s">
        <v>3</v>
      </c>
      <c r="M198" t="s">
        <v>3</v>
      </c>
      <c r="S198" t="s">
        <v>3</v>
      </c>
      <c r="AQ198" t="s">
        <v>0</v>
      </c>
    </row>
    <row r="199" spans="1:43" x14ac:dyDescent="0.4">
      <c r="A199" t="s">
        <v>143</v>
      </c>
      <c r="G199" t="s">
        <v>71</v>
      </c>
      <c r="M199" t="s">
        <v>209</v>
      </c>
      <c r="S199" t="s">
        <v>277</v>
      </c>
      <c r="AQ199" t="s">
        <v>507</v>
      </c>
    </row>
    <row r="200" spans="1:43" x14ac:dyDescent="0.4">
      <c r="A200" t="s">
        <v>144</v>
      </c>
      <c r="G200" t="s">
        <v>73</v>
      </c>
      <c r="M200" t="s">
        <v>210</v>
      </c>
      <c r="S200" t="s">
        <v>279</v>
      </c>
      <c r="AQ200" t="s">
        <v>508</v>
      </c>
    </row>
    <row r="201" spans="1:43" x14ac:dyDescent="0.4">
      <c r="AQ201" t="s">
        <v>3</v>
      </c>
    </row>
    <row r="202" spans="1:43" x14ac:dyDescent="0.4">
      <c r="S202">
        <v>3</v>
      </c>
      <c r="AQ202" t="s">
        <v>507</v>
      </c>
    </row>
    <row r="203" spans="1:43" x14ac:dyDescent="0.4">
      <c r="S203" t="s">
        <v>0</v>
      </c>
      <c r="AQ203" t="s">
        <v>509</v>
      </c>
    </row>
    <row r="204" spans="1:43" x14ac:dyDescent="0.4">
      <c r="S204" t="s">
        <v>280</v>
      </c>
    </row>
    <row r="205" spans="1:43" x14ac:dyDescent="0.4">
      <c r="S205" t="s">
        <v>281</v>
      </c>
    </row>
    <row r="206" spans="1:43" x14ac:dyDescent="0.4">
      <c r="S206" t="s">
        <v>3</v>
      </c>
    </row>
    <row r="207" spans="1:43" x14ac:dyDescent="0.4">
      <c r="S207" t="s">
        <v>280</v>
      </c>
    </row>
    <row r="208" spans="1:43" x14ac:dyDescent="0.4">
      <c r="S208" t="s">
        <v>282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2025-04-10T19:33:32Z</dcterms:modified>
</cp:coreProperties>
</file>