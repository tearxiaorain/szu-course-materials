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实验\8\"/>
    </mc:Choice>
  </mc:AlternateContent>
  <xr:revisionPtr revIDLastSave="0" documentId="13_ncr:1_{673626A4-B2BD-494D-A68B-CE01BB147FA0}" xr6:coauthVersionLast="47" xr6:coauthVersionMax="47" xr10:uidLastSave="{00000000-0000-0000-0000-000000000000}"/>
  <bookViews>
    <workbookView xWindow="2895" yWindow="196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I16" i="1" s="1"/>
  <c r="H16" i="1"/>
  <c r="H14" i="1"/>
  <c r="I14" i="1"/>
  <c r="I1" i="1"/>
  <c r="H1" i="1"/>
  <c r="G1" i="1"/>
  <c r="F1" i="1"/>
  <c r="E1" i="1"/>
  <c r="D1" i="1"/>
  <c r="C1" i="1"/>
  <c r="B1" i="1"/>
  <c r="E20" i="1"/>
  <c r="C14" i="1"/>
  <c r="D14" i="1"/>
  <c r="D16" i="1" s="1"/>
  <c r="E14" i="1"/>
  <c r="F14" i="1"/>
  <c r="G14" i="1"/>
  <c r="B14" i="1"/>
  <c r="B7" i="1"/>
  <c r="C7" i="1"/>
  <c r="B16" i="1" l="1"/>
  <c r="C16" i="1"/>
  <c r="G16" i="1"/>
  <c r="F16" i="1"/>
  <c r="E16" i="1"/>
</calcChain>
</file>

<file path=xl/sharedStrings.xml><?xml version="1.0" encoding="utf-8"?>
<sst xmlns="http://schemas.openxmlformats.org/spreadsheetml/2006/main" count="8" uniqueCount="5">
  <si>
    <t>平均</t>
    <phoneticPr fontId="1" type="noConversion"/>
  </si>
  <si>
    <t>加速比</t>
    <phoneticPr fontId="1" type="noConversion"/>
  </si>
  <si>
    <t>gpu</t>
    <phoneticPr fontId="1" type="noConversion"/>
  </si>
  <si>
    <t>cpu</t>
    <phoneticPr fontId="1" type="noConversion"/>
  </si>
  <si>
    <t>规模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</si>
</sst>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不同问题规模下的加速比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Sheet1!$B$1:$I$1</c:f>
              <c:numCache>
                <c:formatCode>General</c:formatCode>
                <c:ptCount val="8"/>
                <c:pt idx="0">
                  <c:v>8388608</c:v>
                </c:pt>
                <c:pt idx="1">
                  <c:v>16777216</c:v>
                </c:pt>
                <c:pt idx="2">
                  <c:v>33554432</c:v>
                </c:pt>
                <c:pt idx="3">
                  <c:v>67108864</c:v>
                </c:pt>
                <c:pt idx="4">
                  <c:v>134217728</c:v>
                </c:pt>
                <c:pt idx="5">
                  <c:v>268435456</c:v>
                </c:pt>
                <c:pt idx="6">
                  <c:v>536870912</c:v>
                </c:pt>
                <c:pt idx="7">
                  <c:v>1073741824</c:v>
                </c:pt>
              </c:numCache>
            </c:numRef>
          </c:xVal>
          <c:yVal>
            <c:numRef>
              <c:f>Sheet1!$B$16:$I$16</c:f>
              <c:numCache>
                <c:formatCode>General</c:formatCode>
                <c:ptCount val="8"/>
                <c:pt idx="0">
                  <c:v>295.52652572796171</c:v>
                </c:pt>
                <c:pt idx="1">
                  <c:v>295.56936582557807</c:v>
                </c:pt>
                <c:pt idx="2">
                  <c:v>133.3186400474402</c:v>
                </c:pt>
                <c:pt idx="3">
                  <c:v>121.29780071710782</c:v>
                </c:pt>
                <c:pt idx="4">
                  <c:v>108.86204346170045</c:v>
                </c:pt>
                <c:pt idx="5">
                  <c:v>97.902663908804797</c:v>
                </c:pt>
                <c:pt idx="6">
                  <c:v>91.89972090680584</c:v>
                </c:pt>
                <c:pt idx="7">
                  <c:v>88.993263294843075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4-41DF-826A-94A5863D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339631"/>
        <c:axId val="805353071"/>
      </c:scatterChart>
      <c:valAx>
        <c:axId val="80533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53071"/>
        <c:crosses val="autoZero"/>
        <c:crossBetween val="midCat"/>
      </c:valAx>
      <c:valAx>
        <c:axId val="8053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3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不同问题规模下的平均执行时间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gpu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Sheet1!$B$1:$I$1</c:f>
              <c:numCache>
                <c:formatCode>General</c:formatCode>
                <c:ptCount val="8"/>
                <c:pt idx="0">
                  <c:v>8388608</c:v>
                </c:pt>
                <c:pt idx="1">
                  <c:v>16777216</c:v>
                </c:pt>
                <c:pt idx="2">
                  <c:v>33554432</c:v>
                </c:pt>
                <c:pt idx="3">
                  <c:v>67108864</c:v>
                </c:pt>
                <c:pt idx="4">
                  <c:v>134217728</c:v>
                </c:pt>
                <c:pt idx="5">
                  <c:v>268435456</c:v>
                </c:pt>
                <c:pt idx="6">
                  <c:v>536870912</c:v>
                </c:pt>
                <c:pt idx="7">
                  <c:v>1073741824</c:v>
                </c:pt>
              </c:numCache>
            </c:numRef>
          </c:xVal>
          <c:yVal>
            <c:numRef>
              <c:f>Sheet1!$B$7:$I$7</c:f>
              <c:numCache>
                <c:formatCode>General</c:formatCode>
                <c:ptCount val="8"/>
                <c:pt idx="0">
                  <c:v>2.0056000000000002E-3</c:v>
                </c:pt>
                <c:pt idx="1">
                  <c:v>4.1691999999999996E-3</c:v>
                </c:pt>
                <c:pt idx="2">
                  <c:v>1.92242E-2</c:v>
                </c:pt>
                <c:pt idx="3">
                  <c:v>4.3787E-2</c:v>
                </c:pt>
                <c:pt idx="4">
                  <c:v>9.9241400000000007E-2</c:v>
                </c:pt>
                <c:pt idx="5">
                  <c:v>0.22394159999999999</c:v>
                </c:pt>
                <c:pt idx="6">
                  <c:v>0.5019112</c:v>
                </c:pt>
                <c:pt idx="7">
                  <c:v>1.1197461999999998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96-4466-BECC-B43C0C159857}"/>
            </c:ext>
          </c:extLst>
        </c:ser>
        <c:ser>
          <c:idx val="1"/>
          <c:order val="1"/>
          <c:tx>
            <c:v>cpu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Sheet1!$B$1:$I$1</c:f>
              <c:numCache>
                <c:formatCode>General</c:formatCode>
                <c:ptCount val="8"/>
                <c:pt idx="0">
                  <c:v>8388608</c:v>
                </c:pt>
                <c:pt idx="1">
                  <c:v>16777216</c:v>
                </c:pt>
                <c:pt idx="2">
                  <c:v>33554432</c:v>
                </c:pt>
                <c:pt idx="3">
                  <c:v>67108864</c:v>
                </c:pt>
                <c:pt idx="4">
                  <c:v>134217728</c:v>
                </c:pt>
                <c:pt idx="5">
                  <c:v>268435456</c:v>
                </c:pt>
                <c:pt idx="6">
                  <c:v>536870912</c:v>
                </c:pt>
                <c:pt idx="7">
                  <c:v>1073741824</c:v>
                </c:pt>
              </c:numCache>
            </c:numRef>
          </c:xVal>
          <c:yVal>
            <c:numRef>
              <c:f>Sheet1!$B$14:$I$14</c:f>
              <c:numCache>
                <c:formatCode>General</c:formatCode>
                <c:ptCount val="8"/>
                <c:pt idx="0">
                  <c:v>0.59270800000000001</c:v>
                </c:pt>
                <c:pt idx="1">
                  <c:v>1.2322877999999999</c:v>
                </c:pt>
                <c:pt idx="2">
                  <c:v>2.5629442</c:v>
                </c:pt>
                <c:pt idx="3">
                  <c:v>5.3112668000000003</c:v>
                </c:pt>
                <c:pt idx="4">
                  <c:v>10.8036216</c:v>
                </c:pt>
                <c:pt idx="5">
                  <c:v>21.9244792</c:v>
                </c:pt>
                <c:pt idx="6">
                  <c:v>46.125499200000007</c:v>
                </c:pt>
                <c:pt idx="7">
                  <c:v>99.649868399999988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A0-40F8-B0EE-1AA0E13A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366768"/>
        <c:axId val="606367248"/>
      </c:scatterChart>
      <c:valAx>
        <c:axId val="606366768"/>
        <c:scaling>
          <c:orientation val="minMax"/>
          <c:max val="1150000000.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367248"/>
        <c:crosses val="autoZero"/>
        <c:crossBetween val="midCat"/>
      </c:valAx>
      <c:valAx>
        <c:axId val="6063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636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Sheet1!$B$1:$I$1</c:f>
              <c:numCache>
                <c:formatCode>General</c:formatCode>
                <c:ptCount val="8"/>
                <c:pt idx="0">
                  <c:v>8388608</c:v>
                </c:pt>
                <c:pt idx="1">
                  <c:v>16777216</c:v>
                </c:pt>
                <c:pt idx="2">
                  <c:v>33554432</c:v>
                </c:pt>
                <c:pt idx="3">
                  <c:v>67108864</c:v>
                </c:pt>
                <c:pt idx="4">
                  <c:v>134217728</c:v>
                </c:pt>
                <c:pt idx="5">
                  <c:v>268435456</c:v>
                </c:pt>
                <c:pt idx="6">
                  <c:v>536870912</c:v>
                </c:pt>
                <c:pt idx="7">
                  <c:v>1073741824</c:v>
                </c:pt>
              </c:numCache>
            </c:numRef>
          </c:xVal>
          <c:yVal>
            <c:numRef>
              <c:f>Sheet1!$B$7:$I$7</c:f>
              <c:numCache>
                <c:formatCode>General</c:formatCode>
                <c:ptCount val="8"/>
                <c:pt idx="0">
                  <c:v>2.0056000000000002E-3</c:v>
                </c:pt>
                <c:pt idx="1">
                  <c:v>4.1691999999999996E-3</c:v>
                </c:pt>
                <c:pt idx="2">
                  <c:v>1.92242E-2</c:v>
                </c:pt>
                <c:pt idx="3">
                  <c:v>4.3787E-2</c:v>
                </c:pt>
                <c:pt idx="4">
                  <c:v>9.9241400000000007E-2</c:v>
                </c:pt>
                <c:pt idx="5">
                  <c:v>0.22394159999999999</c:v>
                </c:pt>
                <c:pt idx="6">
                  <c:v>0.5019112</c:v>
                </c:pt>
                <c:pt idx="7">
                  <c:v>1.1197461999999998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F7-4B16-9A29-3F21BF6A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345263"/>
        <c:axId val="335331343"/>
      </c:scatterChart>
      <c:valAx>
        <c:axId val="33534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5331343"/>
        <c:crosses val="autoZero"/>
        <c:crossBetween val="midCat"/>
      </c:valAx>
      <c:valAx>
        <c:axId val="3353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534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334439</xdr:colOff>
      <xdr:row>40</xdr:row>
      <xdr:rowOff>64604</xdr:rowOff>
    </xdr:from>
    <xdr:to>
      <xdr:col>17</xdr:col>
      <xdr:colOff>326572</xdr:colOff>
      <xdr:row>60</xdr:row>
      <xdr:rowOff>13608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D5EDF3-79CC-46A9-007F-443EE8104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353325</xdr:colOff>
      <xdr:row>0</xdr:row>
      <xdr:rowOff>41413</xdr:rowOff>
    </xdr:from>
    <xdr:to>
      <xdr:col>17</xdr:col>
      <xdr:colOff>489454</xdr:colOff>
      <xdr:row>20</xdr:row>
      <xdr:rowOff>51500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BF4AF3A-A928-0A20-B377-33175CBB4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317103</xdr:colOff>
      <xdr:row>20</xdr:row>
      <xdr:rowOff>147667</xdr:rowOff>
    </xdr:from>
    <xdr:to>
      <xdr:col>17</xdr:col>
      <xdr:colOff>285750</xdr:colOff>
      <xdr:row>39</xdr:row>
      <xdr:rowOff>149679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B67C01A-0EE2-A123-F593-0AF2B0ADA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D1" zoomScale="85" zoomScaleNormal="85" workbookViewId="0">
      <selection activeCell="S19" sqref="S19"/>
    </sheetView>
  </sheetViews>
  <sheetFormatPr defaultRowHeight="14.25" x14ac:dyDescent="0.2"/>
  <cols>
    <col min="2" max="7" width="12.75" bestFit="1" customWidth="1"/>
  </cols>
  <sheetData>
    <row r="1" spans="1:9" x14ac:dyDescent="0.2">
      <c r="A1" t="s">
        <v>2</v>
      </c>
      <c r="B1">
        <f>2^23</f>
        <v>8388608</v>
      </c>
      <c r="C1">
        <f>2^24</f>
        <v>16777216</v>
      </c>
      <c r="D1">
        <f>2^25</f>
        <v>33554432</v>
      </c>
      <c r="E1">
        <f>2^26</f>
        <v>67108864</v>
      </c>
      <c r="F1">
        <f>2^27</f>
        <v>134217728</v>
      </c>
      <c r="G1">
        <f>2^28</f>
        <v>268435456</v>
      </c>
      <c r="H1">
        <f>2^29</f>
        <v>536870912</v>
      </c>
      <c r="I1">
        <f>2^30</f>
        <v>1073741824</v>
      </c>
    </row>
    <row r="2" spans="1:9" x14ac:dyDescent="0.2">
      <c r="A2">
        <v>1</v>
      </c>
      <c r="B2">
        <v>2.0110000000000002E-3</v>
      </c>
      <c r="C2">
        <v>4.1409999999999997E-3</v>
      </c>
      <c r="D2">
        <v>1.9234000000000001E-2</v>
      </c>
      <c r="E2">
        <v>4.3767E-2</v>
      </c>
      <c r="F2">
        <v>9.9241999999999997E-2</v>
      </c>
      <c r="G2">
        <v>0.223992</v>
      </c>
      <c r="H2">
        <v>0.50194000000000005</v>
      </c>
      <c r="I2">
        <v>1.1199110000000001</v>
      </c>
    </row>
    <row r="3" spans="1:9" x14ac:dyDescent="0.2">
      <c r="A3">
        <v>2</v>
      </c>
      <c r="B3">
        <v>2.0119999999999999E-3</v>
      </c>
      <c r="C3">
        <v>4.1359999999999999E-3</v>
      </c>
      <c r="D3">
        <v>1.9220999999999999E-2</v>
      </c>
      <c r="E3">
        <v>4.3787E-2</v>
      </c>
      <c r="F3">
        <v>9.9249000000000004E-2</v>
      </c>
      <c r="G3">
        <v>0.223995</v>
      </c>
      <c r="H3">
        <v>0.50195599999999996</v>
      </c>
      <c r="I3">
        <v>1.1193900000000001</v>
      </c>
    </row>
    <row r="4" spans="1:9" x14ac:dyDescent="0.2">
      <c r="A4">
        <v>3</v>
      </c>
      <c r="B4">
        <v>2.0100000000000001E-3</v>
      </c>
      <c r="C4">
        <v>4.1380000000000002E-3</v>
      </c>
      <c r="D4">
        <v>1.9219E-2</v>
      </c>
      <c r="E4">
        <v>4.3796000000000002E-2</v>
      </c>
      <c r="F4">
        <v>9.9248000000000003E-2</v>
      </c>
      <c r="G4">
        <v>0.22401299999999999</v>
      </c>
      <c r="H4">
        <v>0.50189799999999996</v>
      </c>
      <c r="I4">
        <v>1.1200159999999999</v>
      </c>
    </row>
    <row r="5" spans="1:9" x14ac:dyDescent="0.2">
      <c r="A5">
        <v>4</v>
      </c>
      <c r="B5">
        <v>2.0119999999999999E-3</v>
      </c>
      <c r="C5">
        <v>4.1359999999999999E-3</v>
      </c>
      <c r="D5">
        <v>1.9214999999999999E-2</v>
      </c>
      <c r="E5">
        <v>4.3789000000000002E-2</v>
      </c>
      <c r="F5">
        <v>9.9231E-2</v>
      </c>
      <c r="G5">
        <v>0.22384499999999999</v>
      </c>
      <c r="H5">
        <v>0.50184499999999999</v>
      </c>
      <c r="I5">
        <v>1.1201479999999999</v>
      </c>
    </row>
    <row r="6" spans="1:9" x14ac:dyDescent="0.2">
      <c r="A6">
        <v>5</v>
      </c>
      <c r="B6">
        <v>1.983E-3</v>
      </c>
      <c r="C6">
        <v>4.2950000000000002E-3</v>
      </c>
      <c r="D6">
        <v>1.9231999999999999E-2</v>
      </c>
      <c r="E6">
        <v>4.3796000000000002E-2</v>
      </c>
      <c r="F6">
        <v>9.9237000000000006E-2</v>
      </c>
      <c r="G6">
        <v>0.22386300000000001</v>
      </c>
      <c r="H6">
        <v>0.50191699999999995</v>
      </c>
      <c r="I6">
        <v>1.1192660000000001</v>
      </c>
    </row>
    <row r="7" spans="1:9" x14ac:dyDescent="0.2">
      <c r="A7" t="s">
        <v>0</v>
      </c>
      <c r="B7" s="1">
        <f>AVERAGE(B2:B6)</f>
        <v>2.0056000000000002E-3</v>
      </c>
      <c r="C7" s="1">
        <f t="shared" ref="C7:I7" si="0">AVERAGE(C2:C6)</f>
        <v>4.1691999999999996E-3</v>
      </c>
      <c r="D7" s="1">
        <f t="shared" si="0"/>
        <v>1.92242E-2</v>
      </c>
      <c r="E7" s="1">
        <f t="shared" si="0"/>
        <v>4.3787E-2</v>
      </c>
      <c r="F7" s="1">
        <f t="shared" si="0"/>
        <v>9.9241400000000007E-2</v>
      </c>
      <c r="G7" s="1">
        <f t="shared" si="0"/>
        <v>0.22394159999999999</v>
      </c>
      <c r="H7" s="1">
        <f t="shared" si="0"/>
        <v>0.5019112</v>
      </c>
      <c r="I7" s="1">
        <f t="shared" si="0"/>
        <v>1.1197461999999998</v>
      </c>
    </row>
    <row r="8" spans="1:9" x14ac:dyDescent="0.2">
      <c r="A8" t="s">
        <v>3</v>
      </c>
    </row>
    <row r="9" spans="1:9" x14ac:dyDescent="0.2">
      <c r="B9">
        <v>0.59246699999999997</v>
      </c>
      <c r="C9">
        <v>1.2290540000000001</v>
      </c>
      <c r="D9">
        <v>2.5571790000000001</v>
      </c>
      <c r="E9">
        <v>5.315671</v>
      </c>
      <c r="F9">
        <v>10.792299999999999</v>
      </c>
      <c r="G9">
        <v>21.920283999999999</v>
      </c>
      <c r="H9">
        <v>43.970216000000001</v>
      </c>
      <c r="I9">
        <v>99.676332000000002</v>
      </c>
    </row>
    <row r="10" spans="1:9" x14ac:dyDescent="0.2">
      <c r="B10">
        <v>0.59226999999999996</v>
      </c>
      <c r="C10">
        <v>1.2304029999999999</v>
      </c>
      <c r="D10">
        <v>2.5680559999999999</v>
      </c>
      <c r="E10">
        <v>5.3071830000000002</v>
      </c>
      <c r="F10">
        <v>10.817104</v>
      </c>
      <c r="G10">
        <v>21.938617000000001</v>
      </c>
      <c r="H10">
        <v>49.316996000000003</v>
      </c>
      <c r="I10">
        <v>99.650306999999998</v>
      </c>
    </row>
    <row r="11" spans="1:9" x14ac:dyDescent="0.2">
      <c r="B11">
        <v>0.59216400000000002</v>
      </c>
      <c r="C11">
        <v>1.2360519999999999</v>
      </c>
      <c r="D11">
        <v>2.5594109999999999</v>
      </c>
      <c r="E11">
        <v>5.3100129999999996</v>
      </c>
      <c r="F11">
        <v>10.809514</v>
      </c>
      <c r="G11">
        <v>21.915932999999999</v>
      </c>
      <c r="H11">
        <v>49.297918000000003</v>
      </c>
      <c r="I11">
        <v>99.652202000000003</v>
      </c>
    </row>
    <row r="12" spans="1:9" x14ac:dyDescent="0.2">
      <c r="B12">
        <v>0.59385900000000003</v>
      </c>
      <c r="C12">
        <v>1.234721</v>
      </c>
      <c r="D12">
        <v>2.5603090000000002</v>
      </c>
      <c r="E12">
        <v>5.3034420000000004</v>
      </c>
      <c r="F12">
        <v>10.799379999999999</v>
      </c>
      <c r="G12">
        <v>21.911930000000002</v>
      </c>
      <c r="H12">
        <v>44.019571999999997</v>
      </c>
      <c r="I12">
        <v>99.572508999999997</v>
      </c>
    </row>
    <row r="13" spans="1:9" x14ac:dyDescent="0.2">
      <c r="B13">
        <v>0.59277999999999997</v>
      </c>
      <c r="C13">
        <v>1.231209</v>
      </c>
      <c r="D13">
        <v>2.569766</v>
      </c>
      <c r="E13">
        <v>5.3200250000000002</v>
      </c>
      <c r="F13">
        <v>10.799810000000001</v>
      </c>
      <c r="G13">
        <v>21.935631999999998</v>
      </c>
      <c r="H13">
        <v>44.022793999999998</v>
      </c>
      <c r="I13">
        <v>99.697991999999999</v>
      </c>
    </row>
    <row r="14" spans="1:9" x14ac:dyDescent="0.2">
      <c r="B14">
        <f>AVERAGE(B9:B13)</f>
        <v>0.59270800000000001</v>
      </c>
      <c r="C14">
        <f>AVERAGE(C9:C13)</f>
        <v>1.2322877999999999</v>
      </c>
      <c r="D14">
        <f t="shared" ref="D14:I14" si="1">AVERAGE(D9:D13)</f>
        <v>2.5629442</v>
      </c>
      <c r="E14">
        <f t="shared" si="1"/>
        <v>5.3112668000000003</v>
      </c>
      <c r="F14">
        <f t="shared" si="1"/>
        <v>10.8036216</v>
      </c>
      <c r="G14">
        <f t="shared" si="1"/>
        <v>21.9244792</v>
      </c>
      <c r="H14">
        <f t="shared" si="1"/>
        <v>46.125499200000007</v>
      </c>
      <c r="I14">
        <f t="shared" si="1"/>
        <v>99.649868399999988</v>
      </c>
    </row>
    <row r="16" spans="1:9" x14ac:dyDescent="0.2">
      <c r="A16" t="s">
        <v>1</v>
      </c>
      <c r="B16" s="1">
        <f>B14/B7</f>
        <v>295.52652572796171</v>
      </c>
      <c r="C16" s="1">
        <f t="shared" ref="C16:I16" si="2">C14/C7</f>
        <v>295.56936582557807</v>
      </c>
      <c r="D16" s="1">
        <f t="shared" si="2"/>
        <v>133.3186400474402</v>
      </c>
      <c r="E16" s="1">
        <f t="shared" si="2"/>
        <v>121.29780071710782</v>
      </c>
      <c r="F16" s="1">
        <f t="shared" si="2"/>
        <v>108.86204346170045</v>
      </c>
      <c r="G16" s="1">
        <f t="shared" si="2"/>
        <v>97.902663908804797</v>
      </c>
      <c r="H16" s="1">
        <f t="shared" si="2"/>
        <v>91.89972090680584</v>
      </c>
      <c r="I16" s="1">
        <f t="shared" si="2"/>
        <v>88.993263294843075</v>
      </c>
    </row>
    <row r="20" spans="1:9" x14ac:dyDescent="0.2">
      <c r="B20" s="1"/>
      <c r="C20" s="1"/>
      <c r="D20" s="1"/>
      <c r="E20" s="1">
        <f>3^2</f>
        <v>9</v>
      </c>
      <c r="F20" s="1"/>
      <c r="G20" s="1"/>
    </row>
    <row r="25" spans="1:9" x14ac:dyDescent="0.2">
      <c r="A25" s="1" t="s">
        <v>4</v>
      </c>
      <c r="B25" s="1">
        <v>8388608</v>
      </c>
      <c r="C25" s="1">
        <v>16777216</v>
      </c>
      <c r="D25" s="1">
        <v>33554432</v>
      </c>
      <c r="E25" s="1">
        <v>67108864</v>
      </c>
      <c r="F25" s="1">
        <v>134217728</v>
      </c>
      <c r="G25" s="1">
        <v>268435456</v>
      </c>
      <c r="H25" s="1">
        <v>536870912</v>
      </c>
      <c r="I25" s="1">
        <v>1073741824</v>
      </c>
    </row>
    <row r="26" spans="1:9" x14ac:dyDescent="0.2">
      <c r="A26" s="1" t="s">
        <v>3</v>
      </c>
      <c r="B26" s="1">
        <v>0.59270800000000001</v>
      </c>
      <c r="C26" s="1">
        <v>1.2322877999999999</v>
      </c>
      <c r="D26" s="1">
        <v>2.5629442</v>
      </c>
      <c r="E26" s="1">
        <v>5.3112668000000003</v>
      </c>
      <c r="F26" s="1">
        <v>10.8036216</v>
      </c>
      <c r="G26" s="1">
        <v>21.9244792</v>
      </c>
      <c r="H26" s="1">
        <v>46.125499200000007</v>
      </c>
      <c r="I26" s="1">
        <v>99.649868399999988</v>
      </c>
    </row>
    <row r="27" spans="1:9" x14ac:dyDescent="0.2">
      <c r="A27" s="1" t="s">
        <v>2</v>
      </c>
      <c r="B27" s="1">
        <v>2.0056000000000002E-3</v>
      </c>
      <c r="C27" s="1">
        <v>4.1691999999999996E-3</v>
      </c>
      <c r="D27" s="1">
        <v>1.92242E-2</v>
      </c>
      <c r="E27" s="1">
        <v>4.3787E-2</v>
      </c>
      <c r="F27" s="1">
        <v>9.9241400000000007E-2</v>
      </c>
      <c r="G27" s="1">
        <v>0.22394159999999999</v>
      </c>
      <c r="H27" s="1">
        <v>0.5019112</v>
      </c>
      <c r="I27" s="1">
        <v>1.1197461999999998</v>
      </c>
    </row>
    <row r="28" spans="1:9" x14ac:dyDescent="0.2">
      <c r="A28" s="1" t="s">
        <v>1</v>
      </c>
      <c r="B28" s="2">
        <v>295.52652572796171</v>
      </c>
      <c r="C28" s="2">
        <v>295.56936582557807</v>
      </c>
      <c r="D28" s="2">
        <v>133.3186400474402</v>
      </c>
      <c r="E28" s="2">
        <v>121.29780071710782</v>
      </c>
      <c r="F28" s="2">
        <v>108.86204346170045</v>
      </c>
      <c r="G28" s="2">
        <v>97.902663908804797</v>
      </c>
      <c r="H28" s="1">
        <v>91.89972090680584</v>
      </c>
      <c r="I28" s="1">
        <v>88.993263294843075</v>
      </c>
    </row>
    <row r="38" spans="3:6" x14ac:dyDescent="0.2">
      <c r="C38">
        <v>8388608</v>
      </c>
      <c r="D38">
        <v>1</v>
      </c>
      <c r="E38">
        <v>2.0110000000000002E-3</v>
      </c>
      <c r="F38">
        <v>0.59246699999999997</v>
      </c>
    </row>
    <row r="39" spans="3:6" x14ac:dyDescent="0.2">
      <c r="C39">
        <v>8388608</v>
      </c>
      <c r="D39">
        <v>2</v>
      </c>
      <c r="E39">
        <v>2.0119999999999999E-3</v>
      </c>
      <c r="F39">
        <v>0.59226999999999996</v>
      </c>
    </row>
    <row r="40" spans="3:6" x14ac:dyDescent="0.2">
      <c r="C40">
        <v>8388608</v>
      </c>
      <c r="D40">
        <v>3</v>
      </c>
      <c r="E40">
        <v>2.0100000000000001E-3</v>
      </c>
      <c r="F40">
        <v>0.59216400000000002</v>
      </c>
    </row>
    <row r="41" spans="3:6" x14ac:dyDescent="0.2">
      <c r="C41">
        <v>8388608</v>
      </c>
      <c r="D41">
        <v>4</v>
      </c>
      <c r="E41">
        <v>2.0119999999999999E-3</v>
      </c>
      <c r="F41">
        <v>0.59385900000000003</v>
      </c>
    </row>
    <row r="42" spans="3:6" x14ac:dyDescent="0.2">
      <c r="C42">
        <v>8388608</v>
      </c>
      <c r="D42">
        <v>5</v>
      </c>
      <c r="E42">
        <v>1.983E-3</v>
      </c>
      <c r="F42">
        <v>0.59277999999999997</v>
      </c>
    </row>
    <row r="43" spans="3:6" x14ac:dyDescent="0.2">
      <c r="C43">
        <v>16777216</v>
      </c>
      <c r="D43">
        <v>1</v>
      </c>
      <c r="E43">
        <v>4.1409999999999997E-3</v>
      </c>
      <c r="F43">
        <v>1.2290540000000001</v>
      </c>
    </row>
    <row r="44" spans="3:6" x14ac:dyDescent="0.2">
      <c r="C44">
        <v>16777216</v>
      </c>
      <c r="D44">
        <v>2</v>
      </c>
      <c r="E44">
        <v>4.1359999999999999E-3</v>
      </c>
      <c r="F44">
        <v>1.2304029999999999</v>
      </c>
    </row>
    <row r="45" spans="3:6" x14ac:dyDescent="0.2">
      <c r="C45">
        <v>16777216</v>
      </c>
      <c r="D45">
        <v>3</v>
      </c>
      <c r="E45">
        <v>4.1380000000000002E-3</v>
      </c>
      <c r="F45">
        <v>1.2360519999999999</v>
      </c>
    </row>
    <row r="46" spans="3:6" x14ac:dyDescent="0.2">
      <c r="C46">
        <v>16777216</v>
      </c>
      <c r="D46">
        <v>4</v>
      </c>
      <c r="E46">
        <v>4.1359999999999999E-3</v>
      </c>
      <c r="F46">
        <v>1.234721</v>
      </c>
    </row>
    <row r="47" spans="3:6" x14ac:dyDescent="0.2">
      <c r="C47">
        <v>16777216</v>
      </c>
      <c r="D47">
        <v>5</v>
      </c>
      <c r="E47">
        <v>4.2950000000000002E-3</v>
      </c>
      <c r="F47">
        <v>1.231209</v>
      </c>
    </row>
    <row r="48" spans="3:6" x14ac:dyDescent="0.2">
      <c r="C48">
        <v>33554432</v>
      </c>
      <c r="D48">
        <v>1</v>
      </c>
      <c r="E48">
        <v>1.9234000000000001E-2</v>
      </c>
      <c r="F48">
        <v>2.5571790000000001</v>
      </c>
    </row>
    <row r="49" spans="3:6" x14ac:dyDescent="0.2">
      <c r="C49">
        <v>33554432</v>
      </c>
      <c r="D49">
        <v>2</v>
      </c>
      <c r="E49">
        <v>1.9220999999999999E-2</v>
      </c>
      <c r="F49">
        <v>2.5680559999999999</v>
      </c>
    </row>
    <row r="50" spans="3:6" x14ac:dyDescent="0.2">
      <c r="C50">
        <v>33554432</v>
      </c>
      <c r="D50">
        <v>3</v>
      </c>
      <c r="E50">
        <v>1.9219E-2</v>
      </c>
      <c r="F50">
        <v>2.5594109999999999</v>
      </c>
    </row>
    <row r="51" spans="3:6" x14ac:dyDescent="0.2">
      <c r="C51">
        <v>33554432</v>
      </c>
      <c r="D51">
        <v>4</v>
      </c>
      <c r="E51">
        <v>1.9214999999999999E-2</v>
      </c>
      <c r="F51">
        <v>2.5603090000000002</v>
      </c>
    </row>
    <row r="52" spans="3:6" x14ac:dyDescent="0.2">
      <c r="C52">
        <v>33554432</v>
      </c>
      <c r="D52">
        <v>5</v>
      </c>
      <c r="E52">
        <v>1.9231999999999999E-2</v>
      </c>
      <c r="F52">
        <v>2.569766</v>
      </c>
    </row>
    <row r="53" spans="3:6" x14ac:dyDescent="0.2">
      <c r="C53">
        <v>67108864</v>
      </c>
      <c r="D53">
        <v>1</v>
      </c>
      <c r="E53">
        <v>4.3767E-2</v>
      </c>
      <c r="F53">
        <v>5.315671</v>
      </c>
    </row>
    <row r="54" spans="3:6" x14ac:dyDescent="0.2">
      <c r="C54">
        <v>67108864</v>
      </c>
      <c r="D54">
        <v>2</v>
      </c>
      <c r="E54">
        <v>4.3787E-2</v>
      </c>
      <c r="F54">
        <v>5.3071830000000002</v>
      </c>
    </row>
    <row r="55" spans="3:6" x14ac:dyDescent="0.2">
      <c r="C55">
        <v>67108864</v>
      </c>
      <c r="D55">
        <v>3</v>
      </c>
      <c r="E55">
        <v>4.3796000000000002E-2</v>
      </c>
      <c r="F55">
        <v>5.3100129999999996</v>
      </c>
    </row>
    <row r="56" spans="3:6" x14ac:dyDescent="0.2">
      <c r="C56">
        <v>67108864</v>
      </c>
      <c r="D56">
        <v>4</v>
      </c>
      <c r="E56">
        <v>4.3789000000000002E-2</v>
      </c>
      <c r="F56">
        <v>5.3034420000000004</v>
      </c>
    </row>
    <row r="57" spans="3:6" x14ac:dyDescent="0.2">
      <c r="C57">
        <v>67108864</v>
      </c>
      <c r="D57">
        <v>5</v>
      </c>
      <c r="E57">
        <v>4.3796000000000002E-2</v>
      </c>
      <c r="F57">
        <v>5.3200250000000002</v>
      </c>
    </row>
    <row r="58" spans="3:6" x14ac:dyDescent="0.2">
      <c r="C58">
        <v>134217728</v>
      </c>
      <c r="D58">
        <v>1</v>
      </c>
      <c r="E58">
        <v>9.9241999999999997E-2</v>
      </c>
      <c r="F58">
        <v>10.792299999999999</v>
      </c>
    </row>
    <row r="59" spans="3:6" x14ac:dyDescent="0.2">
      <c r="C59">
        <v>134217728</v>
      </c>
      <c r="D59">
        <v>2</v>
      </c>
      <c r="E59">
        <v>9.9249000000000004E-2</v>
      </c>
      <c r="F59">
        <v>10.817104</v>
      </c>
    </row>
    <row r="60" spans="3:6" x14ac:dyDescent="0.2">
      <c r="C60">
        <v>134217728</v>
      </c>
      <c r="D60">
        <v>3</v>
      </c>
      <c r="E60">
        <v>9.9248000000000003E-2</v>
      </c>
      <c r="F60">
        <v>10.809514</v>
      </c>
    </row>
    <row r="61" spans="3:6" x14ac:dyDescent="0.2">
      <c r="C61">
        <v>134217728</v>
      </c>
      <c r="D61">
        <v>4</v>
      </c>
      <c r="E61">
        <v>9.9231E-2</v>
      </c>
      <c r="F61">
        <v>10.799379999999999</v>
      </c>
    </row>
    <row r="62" spans="3:6" x14ac:dyDescent="0.2">
      <c r="C62">
        <v>134217728</v>
      </c>
      <c r="D62">
        <v>5</v>
      </c>
      <c r="E62">
        <v>9.9237000000000006E-2</v>
      </c>
      <c r="F62">
        <v>10.799810000000001</v>
      </c>
    </row>
    <row r="63" spans="3:6" x14ac:dyDescent="0.2">
      <c r="C63">
        <v>268435456</v>
      </c>
      <c r="D63">
        <v>1</v>
      </c>
      <c r="E63">
        <v>0.223992</v>
      </c>
      <c r="F63">
        <v>21.920283999999999</v>
      </c>
    </row>
    <row r="64" spans="3:6" x14ac:dyDescent="0.2">
      <c r="C64">
        <v>268435456</v>
      </c>
      <c r="D64">
        <v>2</v>
      </c>
      <c r="E64">
        <v>0.223995</v>
      </c>
      <c r="F64">
        <v>21.938617000000001</v>
      </c>
    </row>
    <row r="65" spans="3:6" x14ac:dyDescent="0.2">
      <c r="C65">
        <v>268435456</v>
      </c>
      <c r="D65">
        <v>3</v>
      </c>
      <c r="E65">
        <v>0.22401299999999999</v>
      </c>
      <c r="F65">
        <v>21.915932999999999</v>
      </c>
    </row>
    <row r="66" spans="3:6" x14ac:dyDescent="0.2">
      <c r="C66">
        <v>268435456</v>
      </c>
      <c r="D66">
        <v>4</v>
      </c>
      <c r="E66">
        <v>0.22384499999999999</v>
      </c>
      <c r="F66">
        <v>21.911930000000002</v>
      </c>
    </row>
    <row r="67" spans="3:6" x14ac:dyDescent="0.2">
      <c r="C67">
        <v>268435456</v>
      </c>
      <c r="D67">
        <v>5</v>
      </c>
      <c r="E67">
        <v>0.22386300000000001</v>
      </c>
      <c r="F67">
        <v>21.935631999999998</v>
      </c>
    </row>
    <row r="68" spans="3:6" x14ac:dyDescent="0.2">
      <c r="C68">
        <v>536870912</v>
      </c>
      <c r="D68">
        <v>1</v>
      </c>
      <c r="E68">
        <v>0.50194000000000005</v>
      </c>
      <c r="F68">
        <v>43.970216000000001</v>
      </c>
    </row>
    <row r="69" spans="3:6" x14ac:dyDescent="0.2">
      <c r="C69">
        <v>536870912</v>
      </c>
      <c r="D69">
        <v>2</v>
      </c>
      <c r="E69">
        <v>0.50195599999999996</v>
      </c>
      <c r="F69">
        <v>49.316996000000003</v>
      </c>
    </row>
    <row r="70" spans="3:6" x14ac:dyDescent="0.2">
      <c r="C70">
        <v>536870912</v>
      </c>
      <c r="D70">
        <v>3</v>
      </c>
      <c r="E70">
        <v>0.50189799999999996</v>
      </c>
      <c r="F70">
        <v>49.297918000000003</v>
      </c>
    </row>
    <row r="71" spans="3:6" x14ac:dyDescent="0.2">
      <c r="C71">
        <v>536870912</v>
      </c>
      <c r="D71">
        <v>4</v>
      </c>
      <c r="E71">
        <v>0.50184499999999999</v>
      </c>
      <c r="F71">
        <v>44.019571999999997</v>
      </c>
    </row>
    <row r="72" spans="3:6" x14ac:dyDescent="0.2">
      <c r="C72">
        <v>536870912</v>
      </c>
      <c r="D72">
        <v>5</v>
      </c>
      <c r="E72">
        <v>0.50191699999999995</v>
      </c>
      <c r="F72">
        <v>44.022793999999998</v>
      </c>
    </row>
    <row r="73" spans="3:6" x14ac:dyDescent="0.2">
      <c r="C73">
        <v>1073741824</v>
      </c>
      <c r="D73">
        <v>1</v>
      </c>
      <c r="E73">
        <v>1.1199110000000001</v>
      </c>
      <c r="F73">
        <v>99.676332000000002</v>
      </c>
    </row>
    <row r="74" spans="3:6" x14ac:dyDescent="0.2">
      <c r="C74">
        <v>1073741824</v>
      </c>
      <c r="D74">
        <v>2</v>
      </c>
      <c r="E74">
        <v>1.1193900000000001</v>
      </c>
      <c r="F74">
        <v>99.650306999999998</v>
      </c>
    </row>
    <row r="75" spans="3:6" x14ac:dyDescent="0.2">
      <c r="C75">
        <v>1073741824</v>
      </c>
      <c r="D75">
        <v>3</v>
      </c>
      <c r="E75">
        <v>1.1200159999999999</v>
      </c>
      <c r="F75">
        <v>99.652202000000003</v>
      </c>
    </row>
    <row r="76" spans="3:6" x14ac:dyDescent="0.2">
      <c r="C76">
        <v>1073741824</v>
      </c>
      <c r="D76">
        <v>4</v>
      </c>
      <c r="E76">
        <v>1.1201479999999999</v>
      </c>
      <c r="F76">
        <v>99.572508999999997</v>
      </c>
    </row>
    <row r="77" spans="3:6" x14ac:dyDescent="0.2">
      <c r="C77">
        <v>1073741824</v>
      </c>
      <c r="D77">
        <v>5</v>
      </c>
      <c r="E77">
        <v>1.1192660000000001</v>
      </c>
      <c r="F77">
        <v>99.697991999999999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2026-07-02T15:37:54Z</dcterms:modified>
</cp:coreProperties>
</file>