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实验\7\"/>
    </mc:Choice>
  </mc:AlternateContent>
  <xr:revisionPtr revIDLastSave="0" documentId="13_ncr:1_{DD020251-28C5-425E-B40E-C46E48E1C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6" i="1" s="1"/>
  <c r="D16" i="1"/>
  <c r="B16" i="1"/>
  <c r="D14" i="1"/>
  <c r="E14" i="1"/>
  <c r="F14" i="1"/>
  <c r="G14" i="1"/>
  <c r="B14" i="1"/>
  <c r="B7" i="1"/>
  <c r="C7" i="1"/>
  <c r="D7" i="1"/>
  <c r="E7" i="1"/>
  <c r="F7" i="1"/>
  <c r="G7" i="1"/>
  <c r="G16" i="1" l="1"/>
  <c r="F16" i="1"/>
  <c r="E16" i="1"/>
</calcChain>
</file>

<file path=xl/sharedStrings.xml><?xml version="1.0" encoding="utf-8"?>
<sst xmlns="http://schemas.openxmlformats.org/spreadsheetml/2006/main" count="8" uniqueCount="5">
  <si>
    <t>平均</t>
    <phoneticPr fontId="1" type="noConversion"/>
  </si>
  <si>
    <t>加速比</t>
    <phoneticPr fontId="1" type="noConversion"/>
  </si>
  <si>
    <t>gpu</t>
    <phoneticPr fontId="1" type="noConversion"/>
  </si>
  <si>
    <t>cpu</t>
    <phoneticPr fontId="1" type="noConversion"/>
  </si>
  <si>
    <t>矩阵阶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</si>
</sst>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不同问题规模下的加速比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Sheet1!$B$1:$G$1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</c:numCache>
            </c:numRef>
          </c:xVal>
          <c:yVal>
            <c:numRef>
              <c:f>Sheet1!$B$16:$G$16</c:f>
              <c:numCache>
                <c:formatCode>General</c:formatCode>
                <c:ptCount val="6"/>
                <c:pt idx="0">
                  <c:v>5.699481865284974E-3</c:v>
                </c:pt>
                <c:pt idx="1">
                  <c:v>3.7820682359164248E-2</c:v>
                </c:pt>
                <c:pt idx="2">
                  <c:v>0.25737664269774363</c:v>
                </c:pt>
                <c:pt idx="3">
                  <c:v>1.436667329488964</c:v>
                </c:pt>
                <c:pt idx="4">
                  <c:v>7.785083848190645</c:v>
                </c:pt>
                <c:pt idx="5">
                  <c:v>25.320635357216535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4-41DF-826A-94A5863D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339631"/>
        <c:axId val="805353071"/>
      </c:scatterChart>
      <c:valAx>
        <c:axId val="80533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353071"/>
        <c:crosses val="autoZero"/>
        <c:crossBetween val="midCat"/>
      </c:valAx>
      <c:valAx>
        <c:axId val="8053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33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不同问题规模下的平均执行时间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gpu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Sheet1!$B$1:$G$1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</c:numCache>
            </c:numRef>
          </c:xVal>
          <c:yVal>
            <c:numRef>
              <c:f>Sheet1!$B$7:$G$7</c:f>
              <c:numCache>
                <c:formatCode>General</c:formatCode>
                <c:ptCount val="6"/>
                <c:pt idx="0">
                  <c:v>7.7200000000000001E-4</c:v>
                </c:pt>
                <c:pt idx="1">
                  <c:v>7.5619999999999995E-4</c:v>
                </c:pt>
                <c:pt idx="2">
                  <c:v>8.0659999999999998E-4</c:v>
                </c:pt>
                <c:pt idx="3">
                  <c:v>1.0058000000000001E-3</c:v>
                </c:pt>
                <c:pt idx="4">
                  <c:v>1.3596000000000001E-3</c:v>
                </c:pt>
                <c:pt idx="5">
                  <c:v>2.9085999999999999E-3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96-4466-BECC-B43C0C159857}"/>
            </c:ext>
          </c:extLst>
        </c:ser>
        <c:ser>
          <c:idx val="1"/>
          <c:order val="1"/>
          <c:tx>
            <c:v>cpu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Sheet1!$B$1:$G$1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</c:numCache>
            </c:numRef>
          </c:xVal>
          <c:yVal>
            <c:numRef>
              <c:f>Sheet1!$B$14:$G$14</c:f>
              <c:numCache>
                <c:formatCode>General</c:formatCode>
                <c:ptCount val="6"/>
                <c:pt idx="0">
                  <c:v>4.4000000000000002E-6</c:v>
                </c:pt>
                <c:pt idx="1">
                  <c:v>2.8600000000000001E-5</c:v>
                </c:pt>
                <c:pt idx="2">
                  <c:v>2.076E-4</c:v>
                </c:pt>
                <c:pt idx="3">
                  <c:v>1.4450000000000001E-3</c:v>
                </c:pt>
                <c:pt idx="4">
                  <c:v>1.0584600000000001E-2</c:v>
                </c:pt>
                <c:pt idx="5">
                  <c:v>7.3647600000000008E-2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A0-40F8-B0EE-1AA0E13AE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366768"/>
        <c:axId val="606367248"/>
      </c:scatterChart>
      <c:valAx>
        <c:axId val="60636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367248"/>
        <c:crosses val="autoZero"/>
        <c:crossBetween val="midCat"/>
      </c:valAx>
      <c:valAx>
        <c:axId val="6063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36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22</xdr:row>
      <xdr:rowOff>57149</xdr:rowOff>
    </xdr:from>
    <xdr:to>
      <xdr:col>16</xdr:col>
      <xdr:colOff>447676</xdr:colOff>
      <xdr:row>42</xdr:row>
      <xdr:rowOff>47624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D5EDF3-79CC-46A9-007F-443EE8104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643216</xdr:colOff>
      <xdr:row>0</xdr:row>
      <xdr:rowOff>126624</xdr:rowOff>
    </xdr:from>
    <xdr:to>
      <xdr:col>16</xdr:col>
      <xdr:colOff>91888</xdr:colOff>
      <xdr:row>20</xdr:row>
      <xdr:rowOff>136711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BF4AF3A-A928-0A20-B377-33175CBB4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115" zoomScaleNormal="115" workbookViewId="0">
      <selection activeCell="B25" sqref="B25:G28"/>
    </sheetView>
  </sheetViews>
  <sheetFormatPr defaultRowHeight="14.25" x14ac:dyDescent="0.2"/>
  <cols>
    <col min="2" max="7" width="12.75" bestFit="1" customWidth="1"/>
  </cols>
  <sheetData>
    <row r="1" spans="1:8" x14ac:dyDescent="0.2">
      <c r="A1" t="s">
        <v>2</v>
      </c>
      <c r="B1">
        <v>32</v>
      </c>
      <c r="C1">
        <v>64</v>
      </c>
      <c r="D1">
        <v>128</v>
      </c>
      <c r="E1">
        <v>256</v>
      </c>
      <c r="F1">
        <v>512</v>
      </c>
      <c r="G1">
        <v>1024</v>
      </c>
    </row>
    <row r="2" spans="1:8" x14ac:dyDescent="0.2">
      <c r="A2">
        <v>1</v>
      </c>
      <c r="B2" s="1">
        <v>8.0400000000000003E-4</v>
      </c>
      <c r="C2" s="1">
        <v>7.5699999999999997E-4</v>
      </c>
      <c r="D2" s="1">
        <v>7.0600000000000003E-4</v>
      </c>
      <c r="E2" s="1">
        <v>1.0499999999999999E-3</v>
      </c>
      <c r="F2" s="1">
        <v>1.286E-3</v>
      </c>
      <c r="G2" s="1">
        <v>2.9269999999999999E-3</v>
      </c>
      <c r="H2" s="1"/>
    </row>
    <row r="3" spans="1:8" x14ac:dyDescent="0.2">
      <c r="A3">
        <v>2</v>
      </c>
      <c r="B3" s="1">
        <v>6.96E-4</v>
      </c>
      <c r="C3" s="1">
        <v>7.6900000000000004E-4</v>
      </c>
      <c r="D3" s="1">
        <v>7.4299999999999995E-4</v>
      </c>
      <c r="E3" s="1">
        <v>9.7000000000000005E-4</v>
      </c>
      <c r="F3" s="1">
        <v>1.3489999999999999E-3</v>
      </c>
      <c r="G3" s="1">
        <v>2.947E-3</v>
      </c>
      <c r="H3" s="1"/>
    </row>
    <row r="4" spans="1:8" x14ac:dyDescent="0.2">
      <c r="A4">
        <v>3</v>
      </c>
      <c r="B4" s="1">
        <v>7.0600000000000003E-4</v>
      </c>
      <c r="C4" s="1">
        <v>8.0000000000000004E-4</v>
      </c>
      <c r="D4" s="1">
        <v>8.4099999999999995E-4</v>
      </c>
      <c r="E4" s="1">
        <v>1.0449999999999999E-3</v>
      </c>
      <c r="F4" s="1">
        <v>1.433E-3</v>
      </c>
      <c r="G4" s="1">
        <v>2.8600000000000001E-3</v>
      </c>
      <c r="H4" s="1"/>
    </row>
    <row r="5" spans="1:8" x14ac:dyDescent="0.2">
      <c r="A5">
        <v>4</v>
      </c>
      <c r="B5" s="1">
        <v>7.76E-4</v>
      </c>
      <c r="C5" s="1">
        <v>7.1100000000000004E-4</v>
      </c>
      <c r="D5" s="1">
        <v>9.2500000000000004E-4</v>
      </c>
      <c r="E5" s="1">
        <v>9.7599999999999998E-4</v>
      </c>
      <c r="F5" s="1">
        <v>1.356E-3</v>
      </c>
      <c r="G5" s="1">
        <v>2.8709999999999999E-3</v>
      </c>
      <c r="H5" s="1"/>
    </row>
    <row r="6" spans="1:8" x14ac:dyDescent="0.2">
      <c r="A6">
        <v>5</v>
      </c>
      <c r="B6" s="1">
        <v>8.7799999999999998E-4</v>
      </c>
      <c r="C6" s="1">
        <v>7.4399999999999998E-4</v>
      </c>
      <c r="D6" s="1">
        <v>8.1800000000000004E-4</v>
      </c>
      <c r="E6" s="1">
        <v>9.8799999999999995E-4</v>
      </c>
      <c r="F6" s="1">
        <v>1.374E-3</v>
      </c>
      <c r="G6" s="1">
        <v>2.9380000000000001E-3</v>
      </c>
      <c r="H6" s="1"/>
    </row>
    <row r="7" spans="1:8" x14ac:dyDescent="0.2">
      <c r="A7" t="s">
        <v>0</v>
      </c>
      <c r="B7" s="1">
        <f>AVERAGE(B2:B6)</f>
        <v>7.7200000000000001E-4</v>
      </c>
      <c r="C7" s="1">
        <f t="shared" ref="C7:G7" si="0">AVERAGE(C2:C6)</f>
        <v>7.5619999999999995E-4</v>
      </c>
      <c r="D7" s="1">
        <f t="shared" si="0"/>
        <v>8.0659999999999998E-4</v>
      </c>
      <c r="E7" s="1">
        <f t="shared" si="0"/>
        <v>1.0058000000000001E-3</v>
      </c>
      <c r="F7" s="1">
        <f t="shared" si="0"/>
        <v>1.3596000000000001E-3</v>
      </c>
      <c r="G7" s="1">
        <f t="shared" si="0"/>
        <v>2.9085999999999999E-3</v>
      </c>
      <c r="H7" s="1"/>
    </row>
    <row r="8" spans="1:8" x14ac:dyDescent="0.2">
      <c r="A8" t="s">
        <v>3</v>
      </c>
      <c r="H8" s="1"/>
    </row>
    <row r="9" spans="1:8" x14ac:dyDescent="0.2">
      <c r="B9">
        <v>5.0000000000000004E-6</v>
      </c>
      <c r="C9">
        <v>2.4000000000000001E-5</v>
      </c>
      <c r="D9" s="1">
        <v>2.03E-4</v>
      </c>
      <c r="E9">
        <v>1.4450000000000001E-3</v>
      </c>
      <c r="F9">
        <v>1.039E-2</v>
      </c>
      <c r="G9">
        <v>9.5429E-2</v>
      </c>
      <c r="H9" s="1"/>
    </row>
    <row r="10" spans="1:8" x14ac:dyDescent="0.2">
      <c r="B10">
        <v>3.9999999999999998E-6</v>
      </c>
      <c r="C10">
        <v>2.5000000000000001E-5</v>
      </c>
      <c r="D10">
        <v>2.0699999999999999E-4</v>
      </c>
      <c r="E10">
        <v>1.4480000000000001E-3</v>
      </c>
      <c r="F10">
        <v>1.0394E-2</v>
      </c>
      <c r="G10">
        <v>2.947E-3</v>
      </c>
    </row>
    <row r="11" spans="1:8" x14ac:dyDescent="0.2">
      <c r="B11">
        <v>5.0000000000000004E-6</v>
      </c>
      <c r="C11">
        <v>2.4000000000000001E-5</v>
      </c>
      <c r="D11">
        <v>1.9799999999999999E-4</v>
      </c>
      <c r="E11">
        <v>1.4580000000000001E-3</v>
      </c>
      <c r="F11">
        <v>1.0496E-2</v>
      </c>
      <c r="G11">
        <v>8.7173E-2</v>
      </c>
    </row>
    <row r="12" spans="1:8" x14ac:dyDescent="0.2">
      <c r="B12">
        <v>3.9999999999999998E-6</v>
      </c>
      <c r="C12">
        <v>4.5000000000000003E-5</v>
      </c>
      <c r="D12">
        <v>2.1100000000000001E-4</v>
      </c>
      <c r="E12">
        <v>1.441E-3</v>
      </c>
      <c r="F12">
        <v>1.1341E-2</v>
      </c>
      <c r="G12">
        <v>8.7149000000000004E-2</v>
      </c>
    </row>
    <row r="13" spans="1:8" x14ac:dyDescent="0.2">
      <c r="B13">
        <v>3.9999999999999998E-6</v>
      </c>
      <c r="C13">
        <v>2.5000000000000001E-5</v>
      </c>
      <c r="D13">
        <v>2.1900000000000001E-4</v>
      </c>
      <c r="E13">
        <v>1.433E-3</v>
      </c>
      <c r="F13">
        <v>1.0302E-2</v>
      </c>
      <c r="G13">
        <v>9.554E-2</v>
      </c>
    </row>
    <row r="14" spans="1:8" x14ac:dyDescent="0.2">
      <c r="B14">
        <f>AVERAGE(B9:B13)</f>
        <v>4.4000000000000002E-6</v>
      </c>
      <c r="C14">
        <f>AVERAGE(C9:C13)</f>
        <v>2.8600000000000001E-5</v>
      </c>
      <c r="D14">
        <f t="shared" ref="D14:G14" si="1">AVERAGE(D9:D13)</f>
        <v>2.076E-4</v>
      </c>
      <c r="E14">
        <f t="shared" si="1"/>
        <v>1.4450000000000001E-3</v>
      </c>
      <c r="F14">
        <f t="shared" si="1"/>
        <v>1.0584600000000001E-2</v>
      </c>
      <c r="G14">
        <f t="shared" si="1"/>
        <v>7.3647600000000008E-2</v>
      </c>
    </row>
    <row r="16" spans="1:8" x14ac:dyDescent="0.2">
      <c r="A16" t="s">
        <v>1</v>
      </c>
      <c r="B16" s="1">
        <f>B14/B7</f>
        <v>5.699481865284974E-3</v>
      </c>
      <c r="C16" s="1">
        <f t="shared" ref="C16:G16" si="2">C14/C7</f>
        <v>3.7820682359164248E-2</v>
      </c>
      <c r="D16" s="1">
        <f t="shared" si="2"/>
        <v>0.25737664269774363</v>
      </c>
      <c r="E16" s="1">
        <f t="shared" si="2"/>
        <v>1.436667329488964</v>
      </c>
      <c r="F16" s="1">
        <f t="shared" si="2"/>
        <v>7.785083848190645</v>
      </c>
      <c r="G16" s="1">
        <f t="shared" si="2"/>
        <v>25.320635357216535</v>
      </c>
    </row>
    <row r="20" spans="1:7" x14ac:dyDescent="0.2">
      <c r="B20" s="1"/>
      <c r="C20" s="1"/>
      <c r="D20" s="1"/>
      <c r="E20" s="1"/>
      <c r="F20" s="1"/>
      <c r="G20" s="1"/>
    </row>
    <row r="25" spans="1:7" x14ac:dyDescent="0.2">
      <c r="A25" t="s">
        <v>4</v>
      </c>
      <c r="B25">
        <v>32</v>
      </c>
      <c r="C25">
        <v>64</v>
      </c>
      <c r="D25">
        <v>128</v>
      </c>
      <c r="E25">
        <v>256</v>
      </c>
      <c r="F25">
        <v>512</v>
      </c>
      <c r="G25">
        <v>1024</v>
      </c>
    </row>
    <row r="26" spans="1:7" x14ac:dyDescent="0.2">
      <c r="A26" t="s">
        <v>3</v>
      </c>
      <c r="B26" s="1">
        <v>4.4000000000000002E-6</v>
      </c>
      <c r="C26" s="1">
        <v>2.8600000000000001E-5</v>
      </c>
      <c r="D26" s="1">
        <v>2.076E-4</v>
      </c>
      <c r="E26" s="1">
        <v>1.4450000000000001E-3</v>
      </c>
      <c r="F26" s="1">
        <v>1.0584600000000001E-2</v>
      </c>
      <c r="G26" s="1">
        <v>7.3647600000000008E-2</v>
      </c>
    </row>
    <row r="27" spans="1:7" x14ac:dyDescent="0.2">
      <c r="A27" t="s">
        <v>2</v>
      </c>
      <c r="B27">
        <v>7.7200000000000001E-4</v>
      </c>
      <c r="C27">
        <v>7.5619999999999995E-4</v>
      </c>
      <c r="D27">
        <v>8.0659999999999998E-4</v>
      </c>
      <c r="E27">
        <v>1.0058000000000001E-3</v>
      </c>
      <c r="F27">
        <v>1.3596000000000001E-3</v>
      </c>
      <c r="G27">
        <v>2.9085999999999999E-3</v>
      </c>
    </row>
    <row r="28" spans="1:7" x14ac:dyDescent="0.2">
      <c r="A28" t="s">
        <v>1</v>
      </c>
      <c r="B28" s="2">
        <v>5.699481865284974E-3</v>
      </c>
      <c r="C28" s="2">
        <v>3.7820682359164248E-2</v>
      </c>
      <c r="D28" s="2">
        <v>0.25737664269774363</v>
      </c>
      <c r="E28" s="2">
        <v>1.436667329488964</v>
      </c>
      <c r="F28" s="2">
        <v>7.785083848190645</v>
      </c>
      <c r="G28" s="2">
        <v>25.320635357216535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2026-06-15T02:29:51Z</dcterms:modified>
</cp:coreProperties>
</file>