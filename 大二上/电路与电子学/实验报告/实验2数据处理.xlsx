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E7CFA1C2-2D5E-4432-94FC-8AF0730213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F29" i="1"/>
  <c r="G29" i="1"/>
  <c r="H29" i="1"/>
  <c r="I29" i="1"/>
  <c r="J29" i="1"/>
  <c r="K29" i="1"/>
  <c r="L29" i="1"/>
  <c r="M29" i="1"/>
  <c r="D29" i="1"/>
  <c r="E25" i="1"/>
  <c r="F25" i="1"/>
  <c r="H25" i="1"/>
  <c r="D25" i="1"/>
  <c r="M24" i="1"/>
  <c r="L24" i="1"/>
  <c r="K24" i="1"/>
  <c r="J24" i="1"/>
  <c r="I24" i="1"/>
  <c r="M23" i="1"/>
  <c r="L23" i="1"/>
  <c r="K23" i="1"/>
  <c r="G23" i="1"/>
  <c r="G25" i="1" s="1"/>
  <c r="M22" i="1"/>
  <c r="M25" i="1" s="1"/>
  <c r="L22" i="1"/>
  <c r="L25" i="1" s="1"/>
  <c r="K22" i="1"/>
  <c r="K25" i="1" s="1"/>
  <c r="J22" i="1"/>
  <c r="I22" i="1"/>
  <c r="I16" i="1"/>
  <c r="J16" i="1"/>
  <c r="K16" i="1"/>
  <c r="L16" i="1"/>
  <c r="D16" i="1"/>
  <c r="E15" i="1"/>
  <c r="E16" i="1" s="1"/>
  <c r="F15" i="1"/>
  <c r="F16" i="1" s="1"/>
  <c r="G15" i="1"/>
  <c r="G16" i="1" s="1"/>
  <c r="H15" i="1"/>
  <c r="H16" i="1" s="1"/>
  <c r="I15" i="1"/>
  <c r="J15" i="1"/>
  <c r="K15" i="1"/>
  <c r="L15" i="1"/>
  <c r="D15" i="1"/>
  <c r="D6" i="1"/>
  <c r="E6" i="1"/>
  <c r="E5" i="1" s="1"/>
  <c r="E10" i="1" s="1"/>
  <c r="F6" i="1"/>
  <c r="F5" i="1" s="1"/>
  <c r="F10" i="1" s="1"/>
  <c r="G6" i="1"/>
  <c r="G5" i="1" s="1"/>
  <c r="H6" i="1"/>
  <c r="H5" i="1" s="1"/>
  <c r="H10" i="1" s="1"/>
  <c r="I6" i="1"/>
  <c r="I5" i="1" s="1"/>
  <c r="I10" i="1" s="1"/>
  <c r="J6" i="1"/>
  <c r="J5" i="1" s="1"/>
  <c r="K6" i="1"/>
  <c r="L6" i="1"/>
  <c r="D5" i="1"/>
  <c r="K5" i="1"/>
  <c r="E7" i="1"/>
  <c r="F7" i="1"/>
  <c r="G7" i="1"/>
  <c r="H7" i="1"/>
  <c r="I7" i="1"/>
  <c r="J7" i="1"/>
  <c r="K7" i="1"/>
  <c r="K8" i="1" s="1"/>
  <c r="L7" i="1"/>
  <c r="L8" i="1" s="1"/>
  <c r="E8" i="1"/>
  <c r="F8" i="1"/>
  <c r="F11" i="1" s="1"/>
  <c r="G8" i="1"/>
  <c r="H8" i="1"/>
  <c r="I8" i="1"/>
  <c r="J8" i="1"/>
  <c r="J11" i="1" s="1"/>
  <c r="D7" i="1"/>
  <c r="D8" i="1"/>
  <c r="J23" i="1" l="1"/>
  <c r="J25" i="1" s="1"/>
  <c r="I23" i="1"/>
  <c r="I25" i="1" s="1"/>
  <c r="E11" i="1"/>
  <c r="G11" i="1"/>
  <c r="H11" i="1"/>
  <c r="D11" i="1"/>
  <c r="K11" i="1"/>
  <c r="G10" i="1"/>
  <c r="K10" i="1"/>
  <c r="J10" i="1"/>
  <c r="L11" i="1"/>
  <c r="I11" i="1"/>
  <c r="L5" i="1"/>
  <c r="L10" i="1" s="1"/>
  <c r="D10" i="1"/>
</calcChain>
</file>

<file path=xl/sharedStrings.xml><?xml version="1.0" encoding="utf-8"?>
<sst xmlns="http://schemas.openxmlformats.org/spreadsheetml/2006/main" count="32" uniqueCount="23">
  <si>
    <t>U</t>
    <phoneticPr fontId="1" type="noConversion"/>
  </si>
  <si>
    <t>U1</t>
    <phoneticPr fontId="1" type="noConversion"/>
  </si>
  <si>
    <t>I1</t>
    <phoneticPr fontId="1" type="noConversion"/>
  </si>
  <si>
    <t>U2</t>
    <phoneticPr fontId="1" type="noConversion"/>
  </si>
  <si>
    <t>I2</t>
    <phoneticPr fontId="1" type="noConversion"/>
  </si>
  <si>
    <t>I</t>
    <phoneticPr fontId="1" type="noConversion"/>
  </si>
  <si>
    <t>R</t>
    <phoneticPr fontId="1" type="noConversion"/>
  </si>
  <si>
    <t>电压源置零</t>
    <phoneticPr fontId="1" type="noConversion"/>
  </si>
  <si>
    <t>电流源置零</t>
    <phoneticPr fontId="1" type="noConversion"/>
  </si>
  <si>
    <t>I3</t>
    <phoneticPr fontId="1" type="noConversion"/>
  </si>
  <si>
    <t>Uab</t>
    <phoneticPr fontId="1" type="noConversion"/>
  </si>
  <si>
    <t>Ucd</t>
    <phoneticPr fontId="1" type="noConversion"/>
  </si>
  <si>
    <t>Uad</t>
    <phoneticPr fontId="1" type="noConversion"/>
  </si>
  <si>
    <t>Ude</t>
    <phoneticPr fontId="1" type="noConversion"/>
  </si>
  <si>
    <t>Ufa</t>
    <phoneticPr fontId="1" type="noConversion"/>
  </si>
  <si>
    <t>Us1</t>
    <phoneticPr fontId="1" type="noConversion"/>
  </si>
  <si>
    <t>Us2</t>
    <phoneticPr fontId="1" type="noConversion"/>
  </si>
  <si>
    <t>Us1单独作用</t>
    <phoneticPr fontId="1" type="noConversion"/>
  </si>
  <si>
    <t>Us2单独作用</t>
    <phoneticPr fontId="1" type="noConversion"/>
  </si>
  <si>
    <t>Us1、Us2共同作用</t>
    <phoneticPr fontId="1" type="noConversion"/>
  </si>
  <si>
    <t>测量值</t>
    <phoneticPr fontId="1" type="noConversion"/>
  </si>
  <si>
    <t>理论值</t>
    <phoneticPr fontId="1" type="noConversion"/>
  </si>
  <si>
    <t>Us1+Us2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</si>
</sst>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29"/>
  <sheetViews>
    <sheetView tabSelected="1" topLeftCell="A17" zoomScale="130" zoomScaleNormal="130" workbookViewId="0">
      <selection activeCell="F33" sqref="F33"/>
    </sheetView>
  </sheetViews>
  <sheetFormatPr defaultRowHeight="13.9" x14ac:dyDescent="0.4"/>
  <cols>
    <col min="2" max="2" width="10.796875" bestFit="1" customWidth="1"/>
    <col min="3" max="3" width="17.265625" bestFit="1" customWidth="1"/>
  </cols>
  <sheetData>
    <row r="4" spans="2:12" x14ac:dyDescent="0.4">
      <c r="C4" t="s">
        <v>6</v>
      </c>
      <c r="D4">
        <v>900</v>
      </c>
      <c r="E4">
        <v>800</v>
      </c>
      <c r="F4">
        <v>700</v>
      </c>
      <c r="G4">
        <v>600</v>
      </c>
      <c r="H4">
        <v>500</v>
      </c>
      <c r="I4">
        <v>400</v>
      </c>
      <c r="J4">
        <v>300</v>
      </c>
      <c r="K4">
        <v>200</v>
      </c>
      <c r="L4">
        <v>100</v>
      </c>
    </row>
    <row r="5" spans="2:12" x14ac:dyDescent="0.4">
      <c r="B5" t="s">
        <v>7</v>
      </c>
      <c r="C5" t="s">
        <v>1</v>
      </c>
      <c r="D5">
        <f>D6*D4/1000</f>
        <v>-6.5556055830706894</v>
      </c>
      <c r="E5">
        <f t="shared" ref="E5:L5" si="0">E6*E4/1000</f>
        <v>-6.2716944559111214</v>
      </c>
      <c r="F5">
        <f t="shared" si="0"/>
        <v>-5.9408941651932308</v>
      </c>
      <c r="G5">
        <f t="shared" si="0"/>
        <v>-5.5505432365461589</v>
      </c>
      <c r="H5">
        <f t="shared" si="0"/>
        <v>-5.082970651895641</v>
      </c>
      <c r="I5">
        <f t="shared" si="0"/>
        <v>-4.5127463388175739</v>
      </c>
      <c r="J5">
        <f t="shared" si="0"/>
        <v>-3.8018974671424846</v>
      </c>
      <c r="K5">
        <f t="shared" si="0"/>
        <v>-2.8910877982592584</v>
      </c>
      <c r="L5">
        <f t="shared" si="0"/>
        <v>-1.6821350175222398</v>
      </c>
    </row>
    <row r="6" spans="2:12" x14ac:dyDescent="0.4">
      <c r="C6" t="s">
        <v>2</v>
      </c>
      <c r="D6">
        <f>-8736000/((D4+510)*850+840)</f>
        <v>-7.2840062034118764</v>
      </c>
      <c r="E6">
        <f t="shared" ref="E6:L6" si="1">-8736000/((E4+510)*850+840)</f>
        <v>-7.8396180698889024</v>
      </c>
      <c r="F6">
        <f t="shared" si="1"/>
        <v>-8.4869916645617582</v>
      </c>
      <c r="G6">
        <f t="shared" si="1"/>
        <v>-9.250905394243599</v>
      </c>
      <c r="H6">
        <f t="shared" si="1"/>
        <v>-10.165941303791282</v>
      </c>
      <c r="I6">
        <f t="shared" si="1"/>
        <v>-11.281865847043933</v>
      </c>
      <c r="J6">
        <f t="shared" si="1"/>
        <v>-12.672991557141614</v>
      </c>
      <c r="K6">
        <f t="shared" si="1"/>
        <v>-14.45543899129629</v>
      </c>
      <c r="L6">
        <f t="shared" si="1"/>
        <v>-16.821350175222399</v>
      </c>
    </row>
    <row r="7" spans="2:12" x14ac:dyDescent="0.4">
      <c r="B7" t="s">
        <v>8</v>
      </c>
      <c r="C7" t="s">
        <v>3</v>
      </c>
      <c r="D7">
        <f>12*84*D4/(85*(D4+520))</f>
        <v>7.5161557580778791</v>
      </c>
      <c r="E7">
        <f t="shared" ref="E7:L7" si="2">12*84*E4/(85*(E4+520))</f>
        <v>7.1871657754010698</v>
      </c>
      <c r="F7">
        <f t="shared" si="2"/>
        <v>6.8042430086788812</v>
      </c>
      <c r="G7">
        <f t="shared" si="2"/>
        <v>6.3529411764705879</v>
      </c>
      <c r="H7">
        <f t="shared" si="2"/>
        <v>5.8131487889273359</v>
      </c>
      <c r="I7">
        <f t="shared" si="2"/>
        <v>5.156010230179028</v>
      </c>
      <c r="J7">
        <f t="shared" si="2"/>
        <v>4.3385939741750361</v>
      </c>
      <c r="K7">
        <f t="shared" si="2"/>
        <v>3.2941176470588234</v>
      </c>
      <c r="L7">
        <f t="shared" si="2"/>
        <v>1.9127134724857684</v>
      </c>
    </row>
    <row r="8" spans="2:12" x14ac:dyDescent="0.4">
      <c r="C8" t="s">
        <v>4</v>
      </c>
      <c r="D8">
        <f>D7/D4*1000</f>
        <v>8.351284175642089</v>
      </c>
      <c r="E8">
        <f t="shared" ref="E8:L8" si="3">E7/E4*1000</f>
        <v>8.9839572192513373</v>
      </c>
      <c r="F8">
        <f t="shared" si="3"/>
        <v>9.7203471552555456</v>
      </c>
      <c r="G8">
        <f t="shared" si="3"/>
        <v>10.588235294117647</v>
      </c>
      <c r="H8">
        <f t="shared" si="3"/>
        <v>11.626297577854672</v>
      </c>
      <c r="I8">
        <f t="shared" si="3"/>
        <v>12.89002557544757</v>
      </c>
      <c r="J8">
        <f t="shared" si="3"/>
        <v>14.461979913916787</v>
      </c>
      <c r="K8">
        <f t="shared" si="3"/>
        <v>16.470588235294116</v>
      </c>
      <c r="L8">
        <f t="shared" si="3"/>
        <v>19.127134724857683</v>
      </c>
    </row>
    <row r="10" spans="2:12" x14ac:dyDescent="0.4">
      <c r="C10" t="s">
        <v>0</v>
      </c>
      <c r="D10">
        <f>D5+D7</f>
        <v>0.96055017500718964</v>
      </c>
      <c r="E10">
        <f t="shared" ref="E10:L10" si="4">E5+E7</f>
        <v>0.91547131948994842</v>
      </c>
      <c r="F10">
        <f t="shared" si="4"/>
        <v>0.86334884348565044</v>
      </c>
      <c r="G10">
        <f t="shared" si="4"/>
        <v>0.80239793992442898</v>
      </c>
      <c r="H10">
        <f t="shared" si="4"/>
        <v>0.73017813703169487</v>
      </c>
      <c r="I10">
        <f t="shared" si="4"/>
        <v>0.64326389136145412</v>
      </c>
      <c r="J10">
        <f t="shared" si="4"/>
        <v>0.53669650703255156</v>
      </c>
      <c r="K10">
        <f t="shared" si="4"/>
        <v>0.40302984879956494</v>
      </c>
      <c r="L10">
        <f t="shared" si="4"/>
        <v>0.23057845496352858</v>
      </c>
    </row>
    <row r="11" spans="2:12" x14ac:dyDescent="0.4">
      <c r="C11" t="s">
        <v>5</v>
      </c>
      <c r="D11">
        <f>D6+D8</f>
        <v>1.0672779722302126</v>
      </c>
      <c r="E11">
        <f t="shared" ref="E11:L11" si="5">E6+E8</f>
        <v>1.1443391493624349</v>
      </c>
      <c r="F11">
        <f t="shared" si="5"/>
        <v>1.2333554906937874</v>
      </c>
      <c r="G11">
        <f t="shared" si="5"/>
        <v>1.3373298998740477</v>
      </c>
      <c r="H11">
        <f t="shared" si="5"/>
        <v>1.4603562740633897</v>
      </c>
      <c r="I11">
        <f t="shared" si="5"/>
        <v>1.6081597284036366</v>
      </c>
      <c r="J11">
        <f t="shared" si="5"/>
        <v>1.7889883567751728</v>
      </c>
      <c r="K11">
        <f t="shared" si="5"/>
        <v>2.0151492439978256</v>
      </c>
      <c r="L11">
        <f t="shared" si="5"/>
        <v>2.305784549635284</v>
      </c>
    </row>
    <row r="14" spans="2:12" x14ac:dyDescent="0.4">
      <c r="C14" t="s">
        <v>6</v>
      </c>
      <c r="D14">
        <v>900</v>
      </c>
      <c r="E14">
        <v>800</v>
      </c>
      <c r="F14">
        <v>700</v>
      </c>
      <c r="G14">
        <v>600</v>
      </c>
      <c r="H14">
        <v>500</v>
      </c>
      <c r="I14">
        <v>400</v>
      </c>
      <c r="J14">
        <v>300</v>
      </c>
      <c r="K14">
        <v>200</v>
      </c>
      <c r="L14">
        <v>100</v>
      </c>
    </row>
    <row r="15" spans="2:12" x14ac:dyDescent="0.4">
      <c r="C15" t="s">
        <v>0</v>
      </c>
      <c r="D15">
        <f>1.565*D14/(500+D14)</f>
        <v>1.0060714285714285</v>
      </c>
      <c r="E15">
        <f t="shared" ref="E15:L15" si="6">1.565*E14/(500+E14)</f>
        <v>0.96307692307692305</v>
      </c>
      <c r="F15">
        <f t="shared" si="6"/>
        <v>0.91291666666666671</v>
      </c>
      <c r="G15">
        <f t="shared" si="6"/>
        <v>0.85363636363636364</v>
      </c>
      <c r="H15">
        <f t="shared" si="6"/>
        <v>0.78249999999999997</v>
      </c>
      <c r="I15">
        <f t="shared" si="6"/>
        <v>0.69555555555555559</v>
      </c>
      <c r="J15">
        <f t="shared" si="6"/>
        <v>0.58687500000000004</v>
      </c>
      <c r="K15">
        <f t="shared" si="6"/>
        <v>0.44714285714285712</v>
      </c>
      <c r="L15">
        <f t="shared" si="6"/>
        <v>0.26083333333333331</v>
      </c>
    </row>
    <row r="16" spans="2:12" x14ac:dyDescent="0.4">
      <c r="C16" t="s">
        <v>5</v>
      </c>
      <c r="D16">
        <f>D15/D14*1000</f>
        <v>1.1178571428571429</v>
      </c>
      <c r="E16">
        <f t="shared" ref="E16:L16" si="7">E15/E14*1000</f>
        <v>1.2038461538461538</v>
      </c>
      <c r="F16">
        <f t="shared" si="7"/>
        <v>1.3041666666666667</v>
      </c>
      <c r="G16">
        <f t="shared" si="7"/>
        <v>1.4227272727272728</v>
      </c>
      <c r="H16">
        <f t="shared" si="7"/>
        <v>1.5649999999999999</v>
      </c>
      <c r="I16">
        <f t="shared" si="7"/>
        <v>1.7388888888888889</v>
      </c>
      <c r="J16">
        <f t="shared" si="7"/>
        <v>1.95625</v>
      </c>
      <c r="K16">
        <f t="shared" si="7"/>
        <v>2.2357142857142858</v>
      </c>
      <c r="L16">
        <f t="shared" si="7"/>
        <v>2.6083333333333329</v>
      </c>
    </row>
    <row r="21" spans="2:13" x14ac:dyDescent="0.4">
      <c r="D21" t="s">
        <v>15</v>
      </c>
      <c r="E21" t="s">
        <v>16</v>
      </c>
      <c r="F21" t="s">
        <v>2</v>
      </c>
      <c r="G21" t="s">
        <v>4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</row>
    <row r="22" spans="2:13" x14ac:dyDescent="0.4">
      <c r="B22" t="s">
        <v>21</v>
      </c>
      <c r="C22" t="s">
        <v>17</v>
      </c>
      <c r="D22">
        <v>12</v>
      </c>
      <c r="E22">
        <v>0</v>
      </c>
      <c r="F22">
        <v>8.6419999999999995</v>
      </c>
      <c r="G22">
        <v>-2.395</v>
      </c>
      <c r="H22">
        <v>-6.2469999999999999</v>
      </c>
      <c r="I22">
        <f>-1000*G22/1000</f>
        <v>2.395</v>
      </c>
      <c r="J22">
        <f>-330*G22/1000</f>
        <v>0.79035</v>
      </c>
      <c r="K22">
        <f>-510*H22/1000</f>
        <v>3.1859699999999997</v>
      </c>
      <c r="L22">
        <f>510*F22/1000</f>
        <v>4.4074200000000001</v>
      </c>
      <c r="M22">
        <f>510*F22/1000</f>
        <v>4.4074200000000001</v>
      </c>
    </row>
    <row r="23" spans="2:13" x14ac:dyDescent="0.4">
      <c r="C23" t="s">
        <v>18</v>
      </c>
      <c r="D23">
        <v>0</v>
      </c>
      <c r="E23">
        <v>6</v>
      </c>
      <c r="F23">
        <v>-1.1975</v>
      </c>
      <c r="G23">
        <f>-G22*1.5</f>
        <v>3.5925000000000002</v>
      </c>
      <c r="H23">
        <v>-2.395</v>
      </c>
      <c r="I23">
        <f>-1000*G23/1000</f>
        <v>-3.5925000000000002</v>
      </c>
      <c r="J23">
        <f>-330*G23/1000</f>
        <v>-1.1855250000000002</v>
      </c>
      <c r="K23">
        <f>-510*H23/1000</f>
        <v>1.2214500000000001</v>
      </c>
      <c r="L23">
        <f>510*F23/1000</f>
        <v>-0.61072500000000007</v>
      </c>
      <c r="M23">
        <f>510*F23/1000</f>
        <v>-0.61072500000000007</v>
      </c>
    </row>
    <row r="24" spans="2:13" x14ac:dyDescent="0.4">
      <c r="C24" t="s">
        <v>19</v>
      </c>
      <c r="D24">
        <v>12</v>
      </c>
      <c r="E24">
        <v>6</v>
      </c>
      <c r="F24">
        <v>7.444</v>
      </c>
      <c r="G24">
        <v>1.1976</v>
      </c>
      <c r="H24">
        <v>-8.6416000000000004</v>
      </c>
      <c r="I24">
        <f>-1000*G24/1000</f>
        <v>-1.1976</v>
      </c>
      <c r="J24">
        <f>-330*G24/1000</f>
        <v>-0.395208</v>
      </c>
      <c r="K24">
        <f>-510*H24/1000</f>
        <v>4.407216</v>
      </c>
      <c r="L24">
        <f>510*F24/1000</f>
        <v>3.79644</v>
      </c>
      <c r="M24">
        <f>510*F24/1000</f>
        <v>3.79644</v>
      </c>
    </row>
    <row r="25" spans="2:13" x14ac:dyDescent="0.4">
      <c r="C25" t="s">
        <v>22</v>
      </c>
      <c r="D25">
        <f>D22+D23</f>
        <v>12</v>
      </c>
      <c r="E25">
        <f t="shared" ref="E25:M25" si="8">E22+E23</f>
        <v>6</v>
      </c>
      <c r="F25">
        <f t="shared" si="8"/>
        <v>7.4444999999999997</v>
      </c>
      <c r="G25">
        <f t="shared" si="8"/>
        <v>1.1975000000000002</v>
      </c>
      <c r="H25">
        <f t="shared" si="8"/>
        <v>-8.6419999999999995</v>
      </c>
      <c r="I25">
        <f t="shared" si="8"/>
        <v>-1.1975000000000002</v>
      </c>
      <c r="J25">
        <f t="shared" si="8"/>
        <v>-0.39517500000000017</v>
      </c>
      <c r="K25">
        <f t="shared" si="8"/>
        <v>4.4074200000000001</v>
      </c>
      <c r="L25">
        <f t="shared" si="8"/>
        <v>3.7966950000000002</v>
      </c>
      <c r="M25">
        <f t="shared" si="8"/>
        <v>3.7966950000000002</v>
      </c>
    </row>
    <row r="26" spans="2:13" x14ac:dyDescent="0.4">
      <c r="B26" t="s">
        <v>20</v>
      </c>
      <c r="C26" t="s">
        <v>17</v>
      </c>
      <c r="D26">
        <v>12</v>
      </c>
      <c r="E26">
        <v>0</v>
      </c>
      <c r="F26">
        <v>8.76</v>
      </c>
      <c r="G26">
        <v>-2.38</v>
      </c>
      <c r="H26">
        <v>-6.19</v>
      </c>
      <c r="I26">
        <v>4.9800000000000004</v>
      </c>
      <c r="J26">
        <v>1.62</v>
      </c>
      <c r="K26">
        <v>3.1</v>
      </c>
      <c r="L26">
        <v>4.29</v>
      </c>
      <c r="M26">
        <v>4.12</v>
      </c>
    </row>
    <row r="27" spans="2:13" x14ac:dyDescent="0.4">
      <c r="C27" t="s">
        <v>18</v>
      </c>
      <c r="D27">
        <v>0</v>
      </c>
      <c r="E27">
        <v>6</v>
      </c>
      <c r="F27">
        <v>-1.198</v>
      </c>
      <c r="G27">
        <v>3.66</v>
      </c>
      <c r="H27">
        <v>-2.37</v>
      </c>
      <c r="I27">
        <v>-3.55</v>
      </c>
      <c r="J27">
        <v>-1.17</v>
      </c>
      <c r="K27">
        <v>1.18</v>
      </c>
      <c r="L27">
        <v>-0.62</v>
      </c>
      <c r="M27">
        <v>-0.61</v>
      </c>
    </row>
    <row r="28" spans="2:13" x14ac:dyDescent="0.4">
      <c r="C28" t="s">
        <v>19</v>
      </c>
      <c r="D28">
        <v>12</v>
      </c>
      <c r="E28">
        <v>6</v>
      </c>
      <c r="F28">
        <v>7.49</v>
      </c>
      <c r="G28">
        <v>1.26</v>
      </c>
      <c r="H28">
        <v>-8.6</v>
      </c>
      <c r="I28">
        <v>-1.2</v>
      </c>
      <c r="J28">
        <v>-0.46600000000000003</v>
      </c>
      <c r="K28">
        <v>4.3</v>
      </c>
      <c r="L28">
        <v>3.69</v>
      </c>
      <c r="M28">
        <v>3.63</v>
      </c>
    </row>
    <row r="29" spans="2:13" x14ac:dyDescent="0.4">
      <c r="C29" t="s">
        <v>22</v>
      </c>
      <c r="D29">
        <f>D26+D27</f>
        <v>12</v>
      </c>
      <c r="E29">
        <f t="shared" ref="E29:M29" si="9">E26+E27</f>
        <v>6</v>
      </c>
      <c r="F29">
        <f t="shared" si="9"/>
        <v>7.5619999999999994</v>
      </c>
      <c r="G29">
        <f t="shared" si="9"/>
        <v>1.2800000000000002</v>
      </c>
      <c r="H29">
        <f t="shared" si="9"/>
        <v>-8.56</v>
      </c>
      <c r="I29">
        <f t="shared" si="9"/>
        <v>1.4300000000000006</v>
      </c>
      <c r="J29">
        <f t="shared" si="9"/>
        <v>0.45000000000000018</v>
      </c>
      <c r="K29">
        <f t="shared" si="9"/>
        <v>4.28</v>
      </c>
      <c r="L29">
        <f t="shared" si="9"/>
        <v>3.67</v>
      </c>
      <c r="M29">
        <f t="shared" si="9"/>
        <v>3.5100000000000002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2024-10-25T13:14:00Z</dcterms:modified>
</cp:coreProperties>
</file>